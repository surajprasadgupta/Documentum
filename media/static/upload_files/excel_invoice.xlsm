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bookViews>
    <workbookView xWindow="0" yWindow="0" windowWidth="23040" windowHeight="10452"/>
  </bookViews>
  <sheets>
    <sheet name="invoice" sheetId="1" r:id="rId1"/>
    <sheet name="company_details" sheetId="5" r:id="rId2"/>
    <sheet name="states" sheetId="6" r:id="rId3"/>
    <sheet name="items" sheetId="4" r:id="rId4"/>
    <sheet name="company_name" sheetId="7" r:id="rId5"/>
    <sheet name="member_name" sheetId="3" r:id="rId6"/>
    <sheet name="invoice_data" sheetId="2" r:id="rId7"/>
  </sheets>
  <definedNames>
    <definedName name="_xlnm._FilterDatabase" localSheetId="0" hidden="1">invoice!$J$1:$P$4</definedName>
    <definedName name="code">OFFSET(Table6[CODE],0,0,member_name!$A$2,2)</definedName>
    <definedName name="customar">OFFSET(company_details!$A$2,0,0,company_details!$G$2,1)</definedName>
    <definedName name="customarname">OFFSET(company_details!$A$2,0,0,company_details!$G$2,4)</definedName>
    <definedName name="hsnrange">OFFSET(Table7[S.Description],0,0,items!$H$1,3)</definedName>
    <definedName name="_xlnm.Print_Area" localSheetId="0">invoice!$A$1:$I$42</definedName>
    <definedName name="sdescription">OFFSET(Table7[S.Description],0,0,items!$H$1,1)</definedName>
    <definedName name="seachbox">OFFSET(invoice_data!$T$7:$T$9,0,0)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1" l="1"/>
  <c r="I35" i="1" s="1"/>
  <c r="G34" i="1"/>
  <c r="I34" i="1" s="1"/>
  <c r="G33" i="1"/>
  <c r="I33" i="1" s="1"/>
  <c r="G32" i="1"/>
  <c r="I32" i="1" s="1"/>
  <c r="G31" i="1"/>
  <c r="I31" i="1" s="1"/>
  <c r="G30" i="1"/>
  <c r="I30" i="1" s="1"/>
  <c r="G29" i="1"/>
  <c r="I29" i="1" s="1"/>
  <c r="G28" i="1"/>
  <c r="I28" i="1" s="1"/>
  <c r="G27" i="1"/>
  <c r="I27" i="1" s="1"/>
  <c r="G26" i="1"/>
  <c r="I26" i="1" s="1"/>
  <c r="G25" i="1"/>
  <c r="I25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4" i="1"/>
  <c r="I14" i="1" s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A33" i="1" l="1"/>
  <c r="A32" i="1"/>
  <c r="A34" i="1"/>
  <c r="A31" i="1"/>
  <c r="A26" i="1" l="1"/>
  <c r="A25" i="1"/>
  <c r="A24" i="1"/>
  <c r="A23" i="1"/>
  <c r="A22" i="1"/>
  <c r="A21" i="1"/>
  <c r="A20" i="1"/>
  <c r="A19" i="1"/>
  <c r="A17" i="1"/>
  <c r="T17" i="2"/>
  <c r="S17" i="2"/>
  <c r="M28" i="1"/>
  <c r="B11" i="1"/>
  <c r="B10" i="1"/>
  <c r="B9" i="1"/>
  <c r="I36" i="1" l="1"/>
  <c r="A15" i="1"/>
  <c r="A16" i="1" s="1"/>
  <c r="A18" i="1" l="1"/>
  <c r="A27" i="1" s="1"/>
  <c r="A28" i="1" s="1"/>
  <c r="A29" i="1" s="1"/>
  <c r="A30" i="1" s="1"/>
  <c r="A35" i="1" s="1"/>
  <c r="R7" i="2"/>
  <c r="Q7" i="2" s="1"/>
  <c r="I39" i="1"/>
  <c r="R8" i="2" l="1"/>
  <c r="Q8" i="2" s="1"/>
  <c r="S7" i="2" l="1"/>
  <c r="R9" i="2"/>
  <c r="Q9" i="2" s="1"/>
  <c r="S8" i="2" l="1"/>
  <c r="T7" i="2"/>
  <c r="R10" i="2"/>
  <c r="Q10" i="2" s="1"/>
  <c r="W4" i="2"/>
  <c r="AO3" i="2"/>
  <c r="E2" i="3"/>
  <c r="H3" i="4"/>
  <c r="H1" i="4"/>
  <c r="G2" i="5"/>
  <c r="T8" i="2" l="1"/>
  <c r="S9" i="2"/>
  <c r="R11" i="2"/>
  <c r="Q11" i="2" s="1"/>
  <c r="T9" i="2" l="1"/>
  <c r="S10" i="2"/>
  <c r="R12" i="2"/>
  <c r="Q12" i="2" l="1"/>
  <c r="S11" i="2"/>
  <c r="T10" i="2"/>
  <c r="R13" i="2"/>
  <c r="Q13" i="2" l="1"/>
  <c r="S12" i="2"/>
  <c r="T12" i="2" s="1"/>
  <c r="T11" i="2"/>
  <c r="R14" i="2"/>
  <c r="Q14" i="2" l="1"/>
  <c r="S13" i="2"/>
  <c r="R15" i="2"/>
  <c r="T13" i="2" l="1"/>
  <c r="S14" i="2"/>
  <c r="Q15" i="2"/>
  <c r="R16" i="2"/>
  <c r="S15" i="2" l="1"/>
  <c r="T15" i="2" s="1"/>
  <c r="Q16" i="2"/>
  <c r="T14" i="2"/>
  <c r="R17" i="2"/>
  <c r="Q17" i="2" s="1"/>
  <c r="S16" i="2" l="1"/>
  <c r="T16" i="2" l="1"/>
  <c r="S18" i="2"/>
  <c r="Q28" i="2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S19" i="2" l="1"/>
  <c r="S20" i="2" s="1"/>
  <c r="S21" i="2" s="1"/>
  <c r="W5" i="2"/>
  <c r="S22" i="2" l="1"/>
  <c r="S23" i="2" s="1"/>
  <c r="S24" i="2" s="1"/>
  <c r="S25" i="2" s="1"/>
  <c r="S26" i="2" s="1"/>
  <c r="S27" i="2" s="1"/>
  <c r="S28" i="2" s="1"/>
  <c r="S29" i="2" s="1"/>
  <c r="S30" i="2" s="1"/>
  <c r="S31" i="2" s="1"/>
  <c r="S32" i="2" s="1"/>
</calcChain>
</file>

<file path=xl/sharedStrings.xml><?xml version="1.0" encoding="utf-8"?>
<sst xmlns="http://schemas.openxmlformats.org/spreadsheetml/2006/main" count="458" uniqueCount="108">
  <si>
    <t>Customar Name</t>
  </si>
  <si>
    <t>GSTIN</t>
  </si>
  <si>
    <t>Address</t>
  </si>
  <si>
    <t>State</t>
  </si>
  <si>
    <t>S.NO</t>
  </si>
  <si>
    <t>HSN</t>
  </si>
  <si>
    <t>Member/Nonmember</t>
  </si>
  <si>
    <t>Member No</t>
  </si>
  <si>
    <t>Member Name</t>
  </si>
  <si>
    <t>Rate</t>
  </si>
  <si>
    <t>Discount</t>
  </si>
  <si>
    <t>Value</t>
  </si>
  <si>
    <t>suraj</t>
  </si>
  <si>
    <t>S.Description</t>
  </si>
  <si>
    <t>CODE</t>
  </si>
  <si>
    <t>CustomarName</t>
  </si>
  <si>
    <t>GSTN</t>
  </si>
  <si>
    <t>Name</t>
  </si>
  <si>
    <t>Andhra Pradesh</t>
  </si>
  <si>
    <t>Arunachal Pradesh</t>
  </si>
  <si>
    <t>Assam</t>
  </si>
  <si>
    <t>Bihar</t>
  </si>
  <si>
    <t>Chhattisgarh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</si>
  <si>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</si>
  <si>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</si>
  <si>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</si>
  <si>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</si>
  <si>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</si>
  <si>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</si>
  <si>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</si>
  <si>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</si>
  <si>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</si>
  <si>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</si>
  <si>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</si>
  <si>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</si>
  <si>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</si>
  <si>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</si>
  <si>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</si>
  <si>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</si>
  <si>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</si>
  <si>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</si>
  <si>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</si>
  <si>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</si>
  <si>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</si>
  <si>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</si>
  <si>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</si>
  <si>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</si>
  <si>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kapil</t>
  </si>
  <si>
    <t>mahesh</t>
  </si>
  <si>
    <t>denesh</t>
  </si>
  <si>
    <t>kamal</t>
  </si>
  <si>
    <t>durga</t>
  </si>
  <si>
    <t>nidhi</t>
  </si>
  <si>
    <t>mishra</t>
  </si>
  <si>
    <t>deepak</t>
  </si>
  <si>
    <t>anurag</t>
  </si>
  <si>
    <t>jic</t>
  </si>
  <si>
    <t>delhi</t>
  </si>
  <si>
    <t>uttar pradesh</t>
  </si>
  <si>
    <t>bostfin</t>
  </si>
  <si>
    <t>haryana</t>
  </si>
  <si>
    <t>pen</t>
  </si>
  <si>
    <t>book</t>
  </si>
  <si>
    <t>pensil</t>
  </si>
  <si>
    <t>copy</t>
  </si>
  <si>
    <t>rough</t>
  </si>
  <si>
    <t>abc</t>
  </si>
  <si>
    <t>aabc</t>
  </si>
  <si>
    <t>hng</t>
  </si>
  <si>
    <t>png</t>
  </si>
  <si>
    <t>No</t>
  </si>
  <si>
    <t>Yes</t>
  </si>
  <si>
    <t>SUBTOTAL</t>
  </si>
  <si>
    <t>TAX RATE</t>
  </si>
  <si>
    <t>TOTAL</t>
  </si>
  <si>
    <t>STATE</t>
  </si>
  <si>
    <t>ADDRESS</t>
  </si>
  <si>
    <t>DISCRIPTION</t>
  </si>
  <si>
    <t>MEMBER NO</t>
  </si>
  <si>
    <t>MEMBER NAME</t>
  </si>
  <si>
    <t>VALUE</t>
  </si>
  <si>
    <t>MEMBER NON MEMBER</t>
  </si>
  <si>
    <t>RATE</t>
  </si>
  <si>
    <t>DISCOUNT</t>
  </si>
  <si>
    <t>DATE</t>
  </si>
  <si>
    <r>
      <rPr>
        <b/>
        <sz val="14"/>
        <color theme="0"/>
        <rFont val="Calibri"/>
        <family val="2"/>
        <scheme val="minor"/>
      </rPr>
      <t xml:space="preserve">Buit In  </t>
    </r>
    <r>
      <rPr>
        <sz val="14"/>
        <color theme="0"/>
        <rFont val="Calibri"/>
        <family val="2"/>
        <scheme val="minor"/>
      </rPr>
      <t xml:space="preserve"> </t>
    </r>
  </si>
  <si>
    <r>
      <t xml:space="preserve">                                                       </t>
    </r>
    <r>
      <rPr>
        <b/>
        <sz val="28"/>
        <color theme="4" tint="-0.249977111117893"/>
        <rFont val="Calibri"/>
        <family val="2"/>
        <scheme val="minor"/>
      </rPr>
      <t xml:space="preserve"> INVOICE</t>
    </r>
  </si>
  <si>
    <t xml:space="preserve">   TAX</t>
  </si>
  <si>
    <r>
      <t xml:space="preserve"> [</t>
    </r>
    <r>
      <rPr>
        <b/>
        <sz val="24"/>
        <color theme="4" tint="0.39997558519241921"/>
        <rFont val="Calibri"/>
        <family val="2"/>
        <scheme val="minor"/>
      </rPr>
      <t>Company Name</t>
    </r>
    <r>
      <rPr>
        <sz val="24"/>
        <color theme="4" tint="0.39997558519241921"/>
        <rFont val="Calibri"/>
        <family val="2"/>
        <scheme val="minor"/>
      </rPr>
      <t>]</t>
    </r>
  </si>
  <si>
    <r>
      <t xml:space="preserve">  [</t>
    </r>
    <r>
      <rPr>
        <b/>
        <sz val="16"/>
        <color theme="1"/>
        <rFont val="Calibri"/>
        <family val="2"/>
        <scheme val="minor"/>
      </rPr>
      <t>Street Address</t>
    </r>
    <r>
      <rPr>
        <sz val="16"/>
        <color theme="1"/>
        <rFont val="Calibri"/>
        <family val="2"/>
        <scheme val="minor"/>
      </rPr>
      <t>]</t>
    </r>
  </si>
  <si>
    <t xml:space="preserve">  [city pin state]</t>
  </si>
  <si>
    <t xml:space="preserve">  Phone: (000) 000-0000</t>
  </si>
  <si>
    <t xml:space="preserve"> Customar Name</t>
  </si>
  <si>
    <t xml:space="preserve"> GSTIN</t>
  </si>
  <si>
    <t xml:space="preserve"> Address</t>
  </si>
  <si>
    <t xml:space="preserve"> State</t>
  </si>
  <si>
    <t xml:space="preserve"> </t>
  </si>
  <si>
    <t>Invoice Number</t>
  </si>
  <si>
    <t>INVOICE  NO</t>
  </si>
  <si>
    <t>name</t>
  </si>
  <si>
    <t>invoice</t>
  </si>
  <si>
    <t>date</t>
  </si>
  <si>
    <t>SEARCH</t>
  </si>
  <si>
    <t>item in table</t>
  </si>
  <si>
    <t>search count</t>
  </si>
  <si>
    <t xml:space="preserve"> Item Description</t>
  </si>
  <si>
    <t/>
  </si>
  <si>
    <t>bostfin-2101-06/08/2019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</si>
</sst>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mm/dd/yy;@"/>
  </numFmts>
  <fonts count="5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u/>
      <sz val="10"/>
      <color theme="11"/>
      <name val="Arial"/>
      <family val="2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 tint="-0.499984740745262"/>
      <name val="Calibri Light"/>
      <family val="2"/>
      <scheme val="major"/>
    </font>
    <font>
      <sz val="24"/>
      <color theme="4" tint="0.39997558519241921"/>
      <name val="Calibri"/>
      <family val="2"/>
      <scheme val="minor"/>
    </font>
    <font>
      <b/>
      <sz val="8"/>
      <color rgb="FF000000"/>
      <name val="Arial"/>
      <family val="2"/>
    </font>
    <font>
      <sz val="24"/>
      <color theme="4" tint="-0.249977111117893"/>
      <name val="Calibri"/>
      <family val="2"/>
      <scheme val="minor"/>
    </font>
    <font>
      <b/>
      <sz val="24"/>
      <color theme="4" tint="0.3999755851924192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28"/>
      <color theme="4" tint="-0.249977111117893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222222"/>
      <name val="Courier New"/>
      <family val="3"/>
    </font>
    <font>
      <b/>
      <sz val="11"/>
      <color theme="0"/>
      <name val="Courier New"/>
      <family val="3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6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DDD9C3"/>
        <bgColor rgb="FFDDD9C3"/>
      </patternFill>
    </fill>
    <fill>
      <patternFill patternType="solid">
        <fgColor theme="5"/>
      </patternFill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4" fillId="0" borderId="0"/>
    <xf numFmtId="0" fontId="1" fillId="3" borderId="0" applyNumberFormat="0" applyBorder="0" applyAlignment="0" applyProtection="0"/>
    <xf numFmtId="0" fontId="9" fillId="0" borderId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0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2" borderId="0" applyNumberFormat="0" applyBorder="0" applyAlignment="0" applyProtection="0"/>
    <xf numFmtId="0" fontId="11" fillId="14" borderId="0" applyNumberFormat="0" applyBorder="0" applyAlignment="0" applyProtection="0"/>
    <xf numFmtId="0" fontId="11" fillId="11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2" fillId="18" borderId="0" applyNumberFormat="0" applyBorder="0" applyAlignment="0" applyProtection="0"/>
    <xf numFmtId="0" fontId="13" fillId="19" borderId="6" applyNumberFormat="0" applyAlignment="0" applyProtection="0"/>
    <xf numFmtId="0" fontId="14" fillId="20" borderId="7" applyNumberFormat="0" applyAlignment="0" applyProtection="0"/>
    <xf numFmtId="0" fontId="15" fillId="0" borderId="0" applyNumberFormat="0" applyFill="0" applyBorder="0" applyAlignment="0" applyProtection="0"/>
    <xf numFmtId="0" fontId="16" fillId="21" borderId="0" applyNumberFormat="0" applyBorder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19" fillId="0" borderId="10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21" fillId="13" borderId="6" applyNumberFormat="0" applyAlignment="0" applyProtection="0"/>
    <xf numFmtId="0" fontId="22" fillId="0" borderId="11" applyNumberFormat="0" applyFill="0" applyAlignment="0" applyProtection="0"/>
    <xf numFmtId="0" fontId="23" fillId="7" borderId="0" applyNumberFormat="0" applyBorder="0" applyAlignment="0" applyProtection="0"/>
    <xf numFmtId="0" fontId="24" fillId="7" borderId="12" applyNumberFormat="0" applyFont="0" applyAlignment="0" applyProtection="0"/>
    <xf numFmtId="0" fontId="25" fillId="19" borderId="13" applyNumberFormat="0" applyAlignment="0" applyProtection="0"/>
    <xf numFmtId="0" fontId="26" fillId="0" borderId="0" applyNumberFormat="0" applyFill="0" applyBorder="0" applyAlignment="0" applyProtection="0"/>
    <xf numFmtId="0" fontId="27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4" fillId="0" borderId="0"/>
  </cellStyleXfs>
  <cellXfs count="88">
    <xf numFmtId="0" fontId="0" fillId="0" borderId="0" xfId="0"/>
    <xf numFmtId="0" fontId="6" fillId="0" borderId="3" xfId="1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4" xfId="1" applyFont="1" applyBorder="1" applyAlignment="1">
      <alignment vertical="top" wrapText="1"/>
    </xf>
    <xf numFmtId="0" fontId="6" fillId="0" borderId="1" xfId="1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Font="1"/>
    <xf numFmtId="0" fontId="2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36" fillId="0" borderId="5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8" fillId="3" borderId="16" xfId="2" applyFont="1" applyBorder="1" applyAlignment="1">
      <alignment horizontal="center"/>
    </xf>
    <xf numFmtId="0" fontId="8" fillId="3" borderId="16" xfId="2" applyFont="1" applyBorder="1"/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0" xfId="0" applyFont="1" applyBorder="1" applyAlignment="1" applyProtection="1">
      <alignment horizontal="center"/>
    </xf>
    <xf numFmtId="0" fontId="0" fillId="0" borderId="21" xfId="0" applyBorder="1"/>
    <xf numFmtId="0" fontId="0" fillId="0" borderId="17" xfId="0" applyBorder="1"/>
    <xf numFmtId="0" fontId="0" fillId="0" borderId="22" xfId="0" applyBorder="1"/>
    <xf numFmtId="0" fontId="0" fillId="0" borderId="23" xfId="0" applyBorder="1"/>
    <xf numFmtId="0" fontId="0" fillId="0" borderId="15" xfId="0" applyBorder="1"/>
    <xf numFmtId="43" fontId="33" fillId="22" borderId="24" xfId="3" applyNumberFormat="1" applyFont="1" applyFill="1" applyBorder="1" applyAlignment="1">
      <alignment vertical="center"/>
    </xf>
    <xf numFmtId="164" fontId="33" fillId="22" borderId="24" xfId="3" applyNumberFormat="1" applyFont="1" applyFill="1" applyBorder="1" applyAlignment="1">
      <alignment vertical="center"/>
    </xf>
    <xf numFmtId="44" fontId="30" fillId="22" borderId="24" xfId="3" applyNumberFormat="1" applyFont="1" applyFill="1" applyBorder="1" applyAlignment="1">
      <alignment vertical="center"/>
    </xf>
    <xf numFmtId="22" fontId="0" fillId="0" borderId="0" xfId="0" applyNumberFormat="1"/>
    <xf numFmtId="0" fontId="38" fillId="0" borderId="0" xfId="3" applyFont="1" applyBorder="1" applyAlignment="1" applyProtection="1">
      <alignment vertical="center"/>
      <protection locked="0"/>
    </xf>
    <xf numFmtId="0" fontId="0" fillId="0" borderId="30" xfId="0" applyBorder="1" applyAlignment="1"/>
    <xf numFmtId="0" fontId="38" fillId="0" borderId="22" xfId="3" applyFont="1" applyBorder="1" applyAlignment="1" applyProtection="1">
      <alignment vertical="center"/>
      <protection locked="0"/>
    </xf>
    <xf numFmtId="0" fontId="29" fillId="0" borderId="0" xfId="0" applyFont="1" applyBorder="1" applyAlignment="1">
      <alignment vertical="center"/>
    </xf>
    <xf numFmtId="0" fontId="1" fillId="25" borderId="0" xfId="2" applyFill="1" applyBorder="1" applyAlignment="1">
      <alignment vertical="center"/>
    </xf>
    <xf numFmtId="0" fontId="46" fillId="0" borderId="31" xfId="1" applyFont="1" applyBorder="1" applyAlignment="1">
      <alignment horizontal="center"/>
    </xf>
    <xf numFmtId="0" fontId="32" fillId="0" borderId="0" xfId="0" applyFont="1" applyBorder="1" applyAlignment="1">
      <alignment vertical="center"/>
    </xf>
    <xf numFmtId="0" fontId="46" fillId="0" borderId="32" xfId="1" applyFont="1" applyBorder="1" applyAlignment="1">
      <alignment horizontal="left"/>
    </xf>
    <xf numFmtId="0" fontId="36" fillId="0" borderId="33" xfId="0" applyFont="1" applyBorder="1" applyAlignment="1">
      <alignment horizontal="center"/>
    </xf>
    <xf numFmtId="0" fontId="46" fillId="0" borderId="32" xfId="1" applyFont="1" applyBorder="1" applyAlignment="1"/>
    <xf numFmtId="0" fontId="46" fillId="0" borderId="34" xfId="1" applyFont="1" applyBorder="1" applyAlignment="1"/>
    <xf numFmtId="0" fontId="50" fillId="0" borderId="0" xfId="0" applyFont="1" applyAlignment="1">
      <alignment horizontal="left" vertical="center" indent="1"/>
    </xf>
    <xf numFmtId="14" fontId="50" fillId="0" borderId="0" xfId="0" applyNumberFormat="1" applyFont="1" applyAlignment="1">
      <alignment horizontal="left" vertical="center" indent="1"/>
    </xf>
    <xf numFmtId="14" fontId="0" fillId="0" borderId="0" xfId="0" applyNumberFormat="1"/>
    <xf numFmtId="14" fontId="0" fillId="0" borderId="0" xfId="0" applyNumberFormat="1" applyAlignment="1"/>
    <xf numFmtId="165" fontId="0" fillId="0" borderId="0" xfId="0" applyNumberFormat="1" applyAlignment="1"/>
    <xf numFmtId="165" fontId="50" fillId="0" borderId="0" xfId="0" applyNumberFormat="1" applyFont="1" applyAlignment="1">
      <alignment horizontal="left" vertical="center" indent="1"/>
    </xf>
    <xf numFmtId="0" fontId="7" fillId="26" borderId="0" xfId="0" applyFont="1" applyFill="1"/>
    <xf numFmtId="0" fontId="51" fillId="26" borderId="0" xfId="0" applyFont="1" applyFill="1" applyAlignment="1">
      <alignment horizontal="left" vertical="center" indent="1"/>
    </xf>
    <xf numFmtId="14" fontId="7" fillId="26" borderId="0" xfId="0" applyNumberFormat="1" applyFont="1" applyFill="1" applyAlignment="1"/>
    <xf numFmtId="0" fontId="40" fillId="0" borderId="27" xfId="0" applyFont="1" applyBorder="1" applyAlignment="1">
      <alignment horizontal="left" vertical="top" wrapText="1"/>
    </xf>
    <xf numFmtId="0" fontId="40" fillId="0" borderId="28" xfId="0" applyFont="1" applyBorder="1" applyAlignment="1">
      <alignment horizontal="left" vertical="top" wrapText="1"/>
    </xf>
    <xf numFmtId="0" fontId="37" fillId="0" borderId="0" xfId="0" applyFont="1" applyAlignment="1">
      <alignment horizontal="center"/>
    </xf>
    <xf numFmtId="0" fontId="34" fillId="23" borderId="24" xfId="3" applyFont="1" applyFill="1" applyBorder="1" applyAlignment="1">
      <alignment horizontal="left" vertical="center" indent="1"/>
    </xf>
    <xf numFmtId="0" fontId="33" fillId="23" borderId="25" xfId="3" applyFont="1" applyFill="1" applyBorder="1" applyAlignment="1">
      <alignment horizontal="left" vertical="center"/>
    </xf>
    <xf numFmtId="0" fontId="33" fillId="23" borderId="26" xfId="3" applyFont="1" applyFill="1" applyBorder="1" applyAlignment="1">
      <alignment horizontal="left" vertical="center"/>
    </xf>
    <xf numFmtId="0" fontId="48" fillId="0" borderId="22" xfId="0" applyFont="1" applyBorder="1" applyAlignment="1">
      <alignment horizontal="center"/>
    </xf>
    <xf numFmtId="0" fontId="0" fillId="0" borderId="0" xfId="0" applyAlignment="1">
      <alignment horizontal="center"/>
    </xf>
    <xf numFmtId="0" fontId="33" fillId="23" borderId="24" xfId="3" applyFont="1" applyFill="1" applyBorder="1" applyAlignment="1">
      <alignment horizontal="left" vertical="center" indent="1"/>
    </xf>
    <xf numFmtId="0" fontId="49" fillId="25" borderId="0" xfId="0" applyFont="1" applyFill="1" applyBorder="1" applyAlignment="1">
      <alignment horizontal="center"/>
    </xf>
    <xf numFmtId="0" fontId="42" fillId="0" borderId="28" xfId="0" applyFont="1" applyBorder="1" applyAlignment="1">
      <alignment horizontal="left"/>
    </xf>
    <xf numFmtId="0" fontId="42" fillId="0" borderId="29" xfId="0" applyFont="1" applyBorder="1" applyAlignment="1">
      <alignment horizontal="left"/>
    </xf>
    <xf numFmtId="0" fontId="30" fillId="0" borderId="22" xfId="3" applyFont="1" applyBorder="1" applyAlignment="1" applyProtection="1">
      <alignment horizontal="center" vertical="center"/>
      <protection locked="0"/>
    </xf>
    <xf numFmtId="0" fontId="30" fillId="0" borderId="0" xfId="3" applyFont="1" applyBorder="1" applyAlignment="1" applyProtection="1">
      <alignment horizontal="center" vertical="center"/>
      <protection locked="0"/>
    </xf>
    <xf numFmtId="0" fontId="8" fillId="3" borderId="22" xfId="2" applyFont="1" applyBorder="1" applyAlignment="1" applyProtection="1">
      <alignment horizontal="center" vertical="center"/>
      <protection locked="0"/>
    </xf>
    <xf numFmtId="0" fontId="8" fillId="3" borderId="0" xfId="2" applyFont="1" applyBorder="1" applyAlignment="1" applyProtection="1">
      <alignment horizontal="center" vertical="center"/>
      <protection locked="0"/>
    </xf>
    <xf numFmtId="0" fontId="0" fillId="0" borderId="3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5" xfId="0" applyBorder="1" applyAlignment="1">
      <alignment horizontal="center"/>
    </xf>
    <xf numFmtId="0" fontId="37" fillId="0" borderId="22" xfId="0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0" fontId="39" fillId="0" borderId="22" xfId="3" applyFont="1" applyBorder="1" applyAlignment="1" applyProtection="1">
      <alignment horizontal="left" vertical="center"/>
      <protection locked="0"/>
    </xf>
    <xf numFmtId="0" fontId="39" fillId="0" borderId="0" xfId="3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/>
      <protection locked="0"/>
    </xf>
    <xf numFmtId="0" fontId="7" fillId="24" borderId="0" xfId="0" applyFont="1" applyFill="1" applyBorder="1" applyAlignment="1">
      <alignment horizontal="center" vertical="center"/>
    </xf>
    <xf numFmtId="0" fontId="7" fillId="24" borderId="30" xfId="0" applyFont="1" applyFill="1" applyBorder="1" applyAlignment="1">
      <alignment horizontal="center" vertical="center"/>
    </xf>
    <xf numFmtId="14" fontId="32" fillId="0" borderId="0" xfId="0" applyNumberFormat="1" applyFont="1" applyBorder="1" applyAlignment="1">
      <alignment horizontal="center" vertical="center"/>
    </xf>
    <xf numFmtId="14" fontId="32" fillId="0" borderId="30" xfId="0" applyNumberFormat="1" applyFont="1" applyBorder="1" applyAlignment="1">
      <alignment horizontal="center" vertical="center"/>
    </xf>
    <xf numFmtId="0" fontId="1" fillId="25" borderId="0" xfId="2" applyFill="1" applyBorder="1" applyAlignment="1">
      <alignment horizontal="center" vertical="center"/>
    </xf>
    <xf numFmtId="49" fontId="53" fillId="25" borderId="32" xfId="0" applyNumberFormat="1" applyFont="1" applyFill="1" applyBorder="1" applyAlignment="1">
      <alignment horizontal="center"/>
    </xf>
    <xf numFmtId="49" fontId="53" fillId="25" borderId="33" xfId="0" applyNumberFormat="1" applyFont="1" applyFill="1" applyBorder="1" applyAlignment="1">
      <alignment horizontal="center"/>
    </xf>
    <xf numFmtId="49" fontId="53" fillId="25" borderId="26" xfId="0" applyNumberFormat="1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5" fillId="0" borderId="2" xfId="1" applyFont="1" applyBorder="1"/>
    <xf numFmtId="0" fontId="6" fillId="0" borderId="1" xfId="1" applyFont="1" applyBorder="1" applyAlignment="1">
      <alignment horizontal="left" vertical="center" wrapText="1"/>
    </xf>
  </cellXfs>
  <cellStyles count="48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" xfId="2" builtinId="33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Explanatory Text 2" xfId="31"/>
    <cellStyle name="Followed Hyperlink" xfId="46" builtinId="9" customBuiltin="1"/>
    <cellStyle name="Good 2" xfId="32"/>
    <cellStyle name="Heading 1 2" xfId="33"/>
    <cellStyle name="Heading 2 2" xfId="34"/>
    <cellStyle name="Heading 3 2" xfId="35"/>
    <cellStyle name="Heading 4 2" xfId="36"/>
    <cellStyle name="Hyperlink" xfId="37" builtinId="8" customBuiltin="1"/>
    <cellStyle name="Input 2" xfId="38"/>
    <cellStyle name="Linked Cell 2" xfId="39"/>
    <cellStyle name="Neutral 2" xfId="40"/>
    <cellStyle name="Normal" xfId="0" builtinId="0"/>
    <cellStyle name="Normal 2" xfId="1"/>
    <cellStyle name="Normal 2 2" xfId="47"/>
    <cellStyle name="Normal 3" xfId="3"/>
    <cellStyle name="Note 2" xfId="41"/>
    <cellStyle name="Output 2" xfId="42"/>
    <cellStyle name="Title 2" xfId="43"/>
    <cellStyle name="Total 2" xfId="44"/>
    <cellStyle name="Warning Text 2" xfId="45"/>
  </cellStyles>
  <dxfs count="28"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font>
        <strike/>
      </font>
      <fill>
        <patternFill>
          <bgColor theme="1" tint="0.49998474074526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relativeIndent="-1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relativeIndent="-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0</xdr:row>
          <xdr:rowOff>0</xdr:rowOff>
        </xdr:from>
        <xdr:to>
          <xdr:col>15</xdr:col>
          <xdr:colOff>579120</xdr:colOff>
          <xdr:row>1</xdr:row>
          <xdr:rowOff>22860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32657</xdr:colOff>
      <xdr:row>1</xdr:row>
      <xdr:rowOff>7920</xdr:rowOff>
    </xdr:from>
    <xdr:to>
      <xdr:col>8</xdr:col>
      <xdr:colOff>718459</xdr:colOff>
      <xdr:row>5</xdr:row>
      <xdr:rowOff>206828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1514" y="399806"/>
          <a:ext cx="3701145" cy="12874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43543</xdr:colOff>
          <xdr:row>1</xdr:row>
          <xdr:rowOff>195942</xdr:rowOff>
        </xdr:from>
        <xdr:to>
          <xdr:col>10</xdr:col>
          <xdr:colOff>489857</xdr:colOff>
          <xdr:row>2</xdr:row>
          <xdr:rowOff>185056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97971</xdr:colOff>
          <xdr:row>1</xdr:row>
          <xdr:rowOff>163285</xdr:rowOff>
        </xdr:from>
        <xdr:to>
          <xdr:col>12</xdr:col>
          <xdr:colOff>566057</xdr:colOff>
          <xdr:row>2</xdr:row>
          <xdr:rowOff>163285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143691</xdr:colOff>
          <xdr:row>1</xdr:row>
          <xdr:rowOff>143691</xdr:rowOff>
        </xdr:from>
        <xdr:to>
          <xdr:col>15</xdr:col>
          <xdr:colOff>578031</xdr:colOff>
          <xdr:row>2</xdr:row>
          <xdr:rowOff>151310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Table8" displayName="Table8" ref="A1:D4" totalsRowShown="0">
  <autoFilter ref="A1:D4"/>
  <tableColumns count="4">
    <tableColumn id="1" name="CustomarName"/>
    <tableColumn id="2" name="GSTN"/>
    <tableColumn id="3" name="Address"/>
    <tableColumn id="4" name="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1:C2" totalsRowShown="0">
  <autoFilter ref="A1:C2"/>
  <tableColumns count="3">
    <tableColumn id="1" name="S.Description"/>
    <tableColumn id="2" name="HSN"/>
    <tableColumn id="3" name="R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A1:B11" totalsRowShown="0">
  <autoFilter ref="A1:B11"/>
  <tableColumns count="2">
    <tableColumn id="1" name="CODE"/>
    <tableColumn id="2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B1:J2594" totalsRowShown="0" headerRowDxfId="27" dataDxfId="26">
  <autoFilter ref="B1:J2594"/>
  <tableColumns count="9">
    <tableColumn id="2" name="Customar Name" dataDxfId="25"/>
    <tableColumn id="1" name="Invoice Number" dataDxfId="24"/>
    <tableColumn id="3" name="GSTIN" dataDxfId="23"/>
    <tableColumn id="4" name="ADDRESS" dataDxfId="22"/>
    <tableColumn id="5" name="STATE" dataDxfId="21"/>
    <tableColumn id="6" name="DISCRIPTION" dataDxfId="20"/>
    <tableColumn id="7" name="HSN" dataDxfId="19"/>
    <tableColumn id="8" name="MEMBER NON MEMBER" dataDxfId="18"/>
    <tableColumn id="9" name="MEMBER NO" dataDxfId="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K1:N2594" totalsRowShown="0" headerRowDxfId="16" dataDxfId="15">
  <autoFilter ref="K1:N2594"/>
  <tableColumns count="4">
    <tableColumn id="1" name="MEMBER NAME" dataDxfId="14"/>
    <tableColumn id="2" name="RATE" dataDxfId="13"/>
    <tableColumn id="4" name="DISCOUNT" dataDxfId="12"/>
    <tableColumn id="9" name="VALUE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:A2594" totalsRowShown="0">
  <autoFilter ref="A1:A2594"/>
  <tableColumns count="1">
    <tableColumn id="1" name="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39"/>
  <sheetViews>
    <sheetView showGridLines="0" showRowColHeaders="0" tabSelected="1" showWhiteSpace="0" zoomScale="70" zoomScaleNormal="70" zoomScalePageLayoutView="115" workbookViewId="0">
      <selection activeCell="H17" sqref="H17"/>
    </sheetView>
  </sheetViews>
  <sheetFormatPr defaultRowHeight="14.4" x14ac:dyDescent="0.3"/>
  <cols>
    <col min="1" max="1" width="23.77734375" customWidth="1"/>
    <col min="2" max="2" width="37.6640625" customWidth="1"/>
    <col min="3" max="3" width="12.6640625" customWidth="1"/>
    <col min="4" max="4" width="17.6640625" customWidth="1"/>
    <col min="5" max="5" width="20.88671875" customWidth="1"/>
    <col min="6" max="6" width="18.6640625" customWidth="1"/>
    <col min="7" max="7" width="11.77734375" customWidth="1"/>
    <col min="8" max="8" width="13.44140625" customWidth="1"/>
    <col min="9" max="9" width="11.21875" bestFit="1" customWidth="1"/>
  </cols>
  <sheetData>
    <row r="1" spans="1:21" ht="31.2" customHeight="1" x14ac:dyDescent="0.7">
      <c r="A1" s="53" t="s">
        <v>88</v>
      </c>
      <c r="B1" s="54"/>
      <c r="C1" s="54"/>
      <c r="D1" s="54"/>
      <c r="E1" s="63" t="s">
        <v>86</v>
      </c>
      <c r="F1" s="63"/>
      <c r="G1" s="63"/>
      <c r="H1" s="63"/>
      <c r="I1" s="64"/>
      <c r="J1" s="82" t="s">
        <v>107</v>
      </c>
      <c r="K1" s="83"/>
      <c r="L1" s="83"/>
      <c r="M1" s="83"/>
      <c r="N1" s="84"/>
      <c r="O1" s="55"/>
      <c r="P1" s="55"/>
      <c r="S1" s="62"/>
      <c r="T1" s="62"/>
      <c r="U1" s="62"/>
    </row>
    <row r="2" spans="1:21" ht="21" x14ac:dyDescent="0.4">
      <c r="A2" s="72" t="s">
        <v>89</v>
      </c>
      <c r="B2" s="73"/>
      <c r="C2" s="15"/>
      <c r="D2" s="15"/>
      <c r="E2" s="15"/>
      <c r="F2" s="15"/>
      <c r="G2" s="15"/>
      <c r="H2" s="15"/>
      <c r="I2" s="34"/>
    </row>
    <row r="3" spans="1:21" ht="21" x14ac:dyDescent="0.3">
      <c r="A3" s="74" t="s">
        <v>90</v>
      </c>
      <c r="B3" s="75"/>
      <c r="C3" s="15"/>
      <c r="D3" s="15"/>
      <c r="E3" s="15"/>
      <c r="F3" s="15"/>
      <c r="G3" s="15"/>
      <c r="H3" s="15"/>
      <c r="I3" s="34"/>
    </row>
    <row r="4" spans="1:21" ht="21" x14ac:dyDescent="0.3">
      <c r="A4" s="35" t="s">
        <v>91</v>
      </c>
      <c r="B4" s="33"/>
      <c r="C4" s="15"/>
      <c r="D4" s="81"/>
      <c r="E4" s="81"/>
      <c r="F4" s="81"/>
      <c r="G4" s="81"/>
      <c r="H4" s="15"/>
      <c r="I4" s="34"/>
    </row>
    <row r="5" spans="1:21" ht="21" x14ac:dyDescent="0.3">
      <c r="A5" s="35"/>
      <c r="B5" s="33"/>
      <c r="C5" s="15"/>
      <c r="D5" s="76">
        <v>8820</v>
      </c>
      <c r="E5" s="76"/>
      <c r="F5" s="79"/>
      <c r="G5" s="79"/>
      <c r="H5" s="15"/>
      <c r="I5" s="34"/>
    </row>
    <row r="6" spans="1:21" ht="18" x14ac:dyDescent="0.3">
      <c r="A6" s="65"/>
      <c r="B6" s="66"/>
      <c r="C6" s="15"/>
      <c r="D6" s="36"/>
      <c r="E6" s="36"/>
      <c r="F6" s="36"/>
      <c r="G6" s="15"/>
      <c r="H6" s="15"/>
      <c r="I6" s="34"/>
    </row>
    <row r="7" spans="1:21" ht="18" x14ac:dyDescent="0.3">
      <c r="A7" s="67" t="s">
        <v>85</v>
      </c>
      <c r="B7" s="68"/>
      <c r="C7" s="15"/>
      <c r="D7" s="37"/>
      <c r="E7" s="37"/>
      <c r="F7" s="77" t="s">
        <v>98</v>
      </c>
      <c r="G7" s="77"/>
      <c r="H7" s="77" t="s">
        <v>84</v>
      </c>
      <c r="I7" s="78"/>
    </row>
    <row r="8" spans="1:21" ht="22.2" customHeight="1" x14ac:dyDescent="0.45">
      <c r="A8" s="38" t="s">
        <v>92</v>
      </c>
      <c r="B8" s="17"/>
      <c r="C8" s="15"/>
      <c r="D8" s="39"/>
      <c r="E8" s="39"/>
      <c r="F8" s="76">
        <v>2104</v>
      </c>
      <c r="G8" s="76"/>
      <c r="H8" s="79">
        <v>43683</v>
      </c>
      <c r="I8" s="80"/>
    </row>
    <row r="9" spans="1:21" ht="23.4" customHeight="1" x14ac:dyDescent="0.45">
      <c r="A9" s="40" t="s">
        <v>93</v>
      </c>
      <c r="B9" s="41" t="str">
        <f ca="1">IFERROR(VLOOKUP(B8,customarname,2,0),"")</f>
        <v/>
      </c>
      <c r="C9" s="15"/>
      <c r="D9" s="15"/>
      <c r="E9" s="15"/>
      <c r="F9" s="15"/>
      <c r="G9" s="15"/>
      <c r="H9" s="15"/>
      <c r="I9" s="34"/>
    </row>
    <row r="10" spans="1:21" ht="23.4" customHeight="1" x14ac:dyDescent="0.45">
      <c r="A10" s="42" t="s">
        <v>94</v>
      </c>
      <c r="B10" s="41" t="str">
        <f ca="1">IFERROR(VLOOKUP(B8,customarname,3,0),"")</f>
        <v/>
      </c>
      <c r="C10" s="15"/>
      <c r="D10" s="15"/>
      <c r="E10" s="15"/>
      <c r="F10" s="15"/>
      <c r="G10" s="15"/>
      <c r="H10" s="15"/>
      <c r="I10" s="34"/>
      <c r="O10" t="s">
        <v>96</v>
      </c>
    </row>
    <row r="11" spans="1:21" ht="23.4" customHeight="1" x14ac:dyDescent="0.45">
      <c r="A11" s="43" t="s">
        <v>95</v>
      </c>
      <c r="B11" s="18" t="e">
        <f>VLOOKUP(B8,company_details!A2:D4,4,0)</f>
        <v>#N/A</v>
      </c>
      <c r="C11" s="15"/>
      <c r="D11" s="15"/>
      <c r="E11" s="15"/>
      <c r="F11" s="15"/>
      <c r="G11" s="15"/>
      <c r="H11" s="15"/>
      <c r="I11" s="34"/>
    </row>
    <row r="12" spans="1:21" x14ac:dyDescent="0.3">
      <c r="A12" s="69"/>
      <c r="B12" s="70"/>
      <c r="C12" s="70"/>
      <c r="D12" s="70"/>
      <c r="E12" s="70"/>
      <c r="F12" s="70"/>
      <c r="G12" s="70"/>
      <c r="H12" s="70"/>
      <c r="I12" s="71"/>
    </row>
    <row r="13" spans="1:21" ht="23.4" x14ac:dyDescent="0.45">
      <c r="A13" s="19" t="s">
        <v>4</v>
      </c>
      <c r="B13" s="19" t="s">
        <v>105</v>
      </c>
      <c r="C13" s="19" t="s">
        <v>5</v>
      </c>
      <c r="D13" s="20" t="s">
        <v>6</v>
      </c>
      <c r="E13" s="19" t="s">
        <v>7</v>
      </c>
      <c r="F13" s="20" t="s">
        <v>8</v>
      </c>
      <c r="G13" s="19" t="s">
        <v>9</v>
      </c>
      <c r="H13" s="19" t="s">
        <v>10</v>
      </c>
      <c r="I13" s="19" t="s">
        <v>11</v>
      </c>
      <c r="J13" s="59"/>
      <c r="K13" s="60"/>
      <c r="L13" s="60"/>
    </row>
    <row r="14" spans="1:21" ht="15.6" x14ac:dyDescent="0.3">
      <c r="A14" s="21">
        <v>1</v>
      </c>
      <c r="B14" s="21" t="s">
        <v>64</v>
      </c>
      <c r="C14" s="21">
        <f ca="1">IFERROR(VLOOKUP(B14,hsnrange,2,0),"")</f>
        <v>2345</v>
      </c>
      <c r="D14" s="21" t="s">
        <v>71</v>
      </c>
      <c r="E14" s="21">
        <v>1121</v>
      </c>
      <c r="F14" s="21" t="str">
        <f>IFERROR(VLOOKUP(E14,member_name!A2:B21,2,FALSE),"")</f>
        <v>denesh</v>
      </c>
      <c r="G14" s="21">
        <f ca="1">IFERROR(VLOOKUP(B14,hsnrange,3,0),"")</f>
        <v>20</v>
      </c>
      <c r="H14" s="21">
        <v>3</v>
      </c>
      <c r="I14" s="21">
        <f ca="1">IFERROR($G14-$H14,"")</f>
        <v>17</v>
      </c>
      <c r="J14" s="12"/>
    </row>
    <row r="15" spans="1:21" ht="15.6" x14ac:dyDescent="0.3">
      <c r="A15" s="22" t="str">
        <f>IF(ISBLANK(B15),"",A14+1)</f>
        <v/>
      </c>
      <c r="B15" s="22"/>
      <c r="C15" s="21" t="str">
        <f ca="1">IFERROR(VLOOKUP(B15,hsnrange,2,0),"")</f>
        <v/>
      </c>
      <c r="D15" s="22"/>
      <c r="E15" s="21"/>
      <c r="F15" s="21" t="str">
        <f>IFERROR(VLOOKUP(E15,member_name!A3:B22,2,FALSE),"")</f>
        <v/>
      </c>
      <c r="G15" s="21" t="str">
        <f ca="1">IFERROR(VLOOKUP(B15,hsnrange,3,0),"")</f>
        <v/>
      </c>
      <c r="H15" s="22"/>
      <c r="I15" s="21" t="str">
        <f ca="1">IFERROR($G15-$H15,"")</f>
        <v/>
      </c>
      <c r="J15" s="12"/>
    </row>
    <row r="16" spans="1:21" ht="15.6" x14ac:dyDescent="0.3">
      <c r="A16" s="22" t="str">
        <f>IF(ISBLANK(B16),"",A15+1)</f>
        <v/>
      </c>
      <c r="B16" s="22"/>
      <c r="C16" s="21" t="str">
        <f ca="1">IFERROR(VLOOKUP(B16,hsnrange,2,0),"")</f>
        <v/>
      </c>
      <c r="D16" s="22"/>
      <c r="E16" s="21"/>
      <c r="F16" s="21" t="str">
        <f>IFERROR(VLOOKUP(E16,member_name!A4:B23,2,FALSE),"")</f>
        <v/>
      </c>
      <c r="G16" s="21" t="str">
        <f ca="1">IFERROR(VLOOKUP(B16,hsnrange,3,0),"")</f>
        <v/>
      </c>
      <c r="H16" s="22"/>
      <c r="I16" s="21" t="str">
        <f t="shared" ref="I15:I35" ca="1" si="0">IFERROR($G16-$H16,"")</f>
        <v/>
      </c>
      <c r="J16" s="12"/>
    </row>
    <row r="17" spans="1:13" ht="15.6" x14ac:dyDescent="0.3">
      <c r="A17" s="22" t="str">
        <f>IF(ISBLANK(B17),"",A16+1)</f>
        <v/>
      </c>
      <c r="B17" s="22"/>
      <c r="C17" s="21" t="str">
        <f ca="1">IFERROR(VLOOKUP(B17,hsnrange,2,0),"")</f>
        <v/>
      </c>
      <c r="D17" s="22"/>
      <c r="E17" s="21"/>
      <c r="F17" s="21" t="str">
        <f>IFERROR(VLOOKUP(E17,member_name!A5:B24,2,FALSE),"")</f>
        <v/>
      </c>
      <c r="G17" s="21" t="str">
        <f ca="1">IFERROR(VLOOKUP(B17,hsnrange,3,0),"")</f>
        <v/>
      </c>
      <c r="H17" s="22"/>
      <c r="I17" s="21" t="str">
        <f t="shared" ca="1" si="0"/>
        <v/>
      </c>
      <c r="J17" s="12"/>
    </row>
    <row r="18" spans="1:13" ht="15.6" x14ac:dyDescent="0.3">
      <c r="A18" s="22" t="str">
        <f>IF(ISBLANK(B17),"",A17+1)</f>
        <v/>
      </c>
      <c r="B18" s="22"/>
      <c r="C18" s="21" t="str">
        <f ca="1">IFERROR(VLOOKUP(B18,hsnrange,2,0),"")</f>
        <v/>
      </c>
      <c r="D18" s="22"/>
      <c r="E18" s="21"/>
      <c r="F18" s="21" t="str">
        <f>IFERROR(VLOOKUP(E18,member_name!A6:B25,2,FALSE),"")</f>
        <v/>
      </c>
      <c r="G18" s="21" t="str">
        <f ca="1">IFERROR(VLOOKUP(B18,hsnrange,3,0),"")</f>
        <v/>
      </c>
      <c r="H18" s="22"/>
      <c r="I18" s="21" t="str">
        <f t="shared" ca="1" si="0"/>
        <v/>
      </c>
      <c r="J18" s="12"/>
    </row>
    <row r="19" spans="1:13" ht="15.6" x14ac:dyDescent="0.3">
      <c r="A19" s="22" t="str">
        <f t="shared" ref="A19:A26" si="1">IF(ISBLANK(B18),"",A18+1)</f>
        <v/>
      </c>
      <c r="B19" s="22"/>
      <c r="C19" s="21" t="str">
        <f ca="1">IFERROR(VLOOKUP(B19,hsnrange,2,0),"")</f>
        <v/>
      </c>
      <c r="D19" s="22"/>
      <c r="E19" s="21"/>
      <c r="F19" s="21" t="str">
        <f>IFERROR(VLOOKUP(E19,member_name!A7:B26,2,FALSE),"")</f>
        <v/>
      </c>
      <c r="G19" s="21" t="str">
        <f ca="1">IFERROR(VLOOKUP(B19,hsnrange,3,0),"")</f>
        <v/>
      </c>
      <c r="H19" s="22"/>
      <c r="I19" s="21" t="str">
        <f t="shared" ca="1" si="0"/>
        <v/>
      </c>
      <c r="J19" s="12"/>
    </row>
    <row r="20" spans="1:13" ht="15.6" x14ac:dyDescent="0.3">
      <c r="A20" s="22" t="str">
        <f t="shared" si="1"/>
        <v/>
      </c>
      <c r="B20" s="22"/>
      <c r="C20" s="21" t="str">
        <f ca="1">IFERROR(VLOOKUP(B20,hsnrange,2,0),"")</f>
        <v/>
      </c>
      <c r="D20" s="22"/>
      <c r="E20" s="21"/>
      <c r="F20" s="21" t="str">
        <f>IFERROR(VLOOKUP(E20,member_name!A8:B27,2,FALSE),"")</f>
        <v/>
      </c>
      <c r="G20" s="21" t="str">
        <f ca="1">IFERROR(VLOOKUP(B20,hsnrange,3,0),"")</f>
        <v/>
      </c>
      <c r="H20" s="22"/>
      <c r="I20" s="21" t="str">
        <f ca="1">IFERROR($G20-$H20,"")</f>
        <v/>
      </c>
      <c r="J20" s="12"/>
    </row>
    <row r="21" spans="1:13" ht="15.6" x14ac:dyDescent="0.3">
      <c r="A21" s="22" t="str">
        <f t="shared" si="1"/>
        <v/>
      </c>
      <c r="B21" s="22"/>
      <c r="C21" s="21" t="str">
        <f ca="1">IFERROR(VLOOKUP(B21,hsnrange,2,0),"")</f>
        <v/>
      </c>
      <c r="D21" s="22"/>
      <c r="E21" s="21"/>
      <c r="F21" s="21" t="str">
        <f>IFERROR(VLOOKUP(E21,member_name!A9:B28,2,FALSE),"")</f>
        <v/>
      </c>
      <c r="G21" s="21" t="str">
        <f ca="1">IFERROR(VLOOKUP(B21,hsnrange,3,0),"")</f>
        <v/>
      </c>
      <c r="H21" s="22"/>
      <c r="I21" s="21" t="str">
        <f t="shared" ca="1" si="0"/>
        <v/>
      </c>
      <c r="J21" s="12"/>
    </row>
    <row r="22" spans="1:13" ht="15.6" x14ac:dyDescent="0.3">
      <c r="A22" s="22" t="str">
        <f t="shared" si="1"/>
        <v/>
      </c>
      <c r="B22" s="22"/>
      <c r="C22" s="21" t="str">
        <f ca="1">IFERROR(VLOOKUP(B22,hsnrange,2,0),"")</f>
        <v/>
      </c>
      <c r="D22" s="22"/>
      <c r="E22" s="21"/>
      <c r="F22" s="21" t="str">
        <f>IFERROR(VLOOKUP(E22,member_name!A10:B29,2,FALSE),"")</f>
        <v/>
      </c>
      <c r="G22" s="21" t="str">
        <f ca="1">IFERROR(VLOOKUP(B22,hsnrange,3,0),"")</f>
        <v/>
      </c>
      <c r="H22" s="22"/>
      <c r="I22" s="21" t="str">
        <f t="shared" ca="1" si="0"/>
        <v/>
      </c>
      <c r="J22" s="12"/>
    </row>
    <row r="23" spans="1:13" ht="15.6" x14ac:dyDescent="0.3">
      <c r="A23" s="22" t="str">
        <f t="shared" si="1"/>
        <v/>
      </c>
      <c r="B23" s="22"/>
      <c r="C23" s="21" t="str">
        <f ca="1">IFERROR(VLOOKUP(B23,hsnrange,2,0),"")</f>
        <v/>
      </c>
      <c r="D23" s="22"/>
      <c r="E23" s="21"/>
      <c r="F23" s="21" t="str">
        <f>IFERROR(VLOOKUP(E23,member_name!A11:B30,2,FALSE),"")</f>
        <v/>
      </c>
      <c r="G23" s="21" t="str">
        <f ca="1">IFERROR(VLOOKUP(B23,hsnrange,3,0),"")</f>
        <v/>
      </c>
      <c r="H23" s="22"/>
      <c r="I23" s="21" t="str">
        <f t="shared" ca="1" si="0"/>
        <v/>
      </c>
      <c r="J23" s="12"/>
    </row>
    <row r="24" spans="1:13" ht="15.6" x14ac:dyDescent="0.3">
      <c r="A24" s="22" t="str">
        <f t="shared" si="1"/>
        <v/>
      </c>
      <c r="B24" s="22"/>
      <c r="C24" s="21" t="str">
        <f ca="1">IFERROR(VLOOKUP(B24,hsnrange,2,0),"")</f>
        <v/>
      </c>
      <c r="D24" s="22"/>
      <c r="E24" s="21"/>
      <c r="F24" s="21" t="str">
        <f>IFERROR(VLOOKUP(E24,member_name!A12:B31,2,FALSE),"")</f>
        <v/>
      </c>
      <c r="G24" s="21" t="str">
        <f ca="1">IFERROR(VLOOKUP(B24,hsnrange,3,0),"")</f>
        <v/>
      </c>
      <c r="H24" s="22"/>
      <c r="I24" s="21" t="str">
        <f t="shared" ca="1" si="0"/>
        <v/>
      </c>
      <c r="J24" s="12"/>
    </row>
    <row r="25" spans="1:13" ht="15.6" x14ac:dyDescent="0.3">
      <c r="A25" s="22" t="str">
        <f t="shared" si="1"/>
        <v/>
      </c>
      <c r="B25" s="22"/>
      <c r="C25" s="21" t="str">
        <f ca="1">IFERROR(VLOOKUP(B25,hsnrange,2,0),"")</f>
        <v/>
      </c>
      <c r="D25" s="22"/>
      <c r="E25" s="21"/>
      <c r="F25" s="21" t="str">
        <f>IFERROR(VLOOKUP(E25,member_name!A13:B32,2,FALSE),"")</f>
        <v/>
      </c>
      <c r="G25" s="21" t="str">
        <f ca="1">IFERROR(VLOOKUP(B25,hsnrange,3,0),"")</f>
        <v/>
      </c>
      <c r="H25" s="22"/>
      <c r="I25" s="21" t="str">
        <f t="shared" ca="1" si="0"/>
        <v/>
      </c>
      <c r="J25" s="12"/>
    </row>
    <row r="26" spans="1:13" ht="15.6" x14ac:dyDescent="0.3">
      <c r="A26" s="22" t="str">
        <f t="shared" si="1"/>
        <v/>
      </c>
      <c r="B26" s="22"/>
      <c r="C26" s="21" t="str">
        <f ca="1">IFERROR(VLOOKUP(B26,hsnrange,2,0),"")</f>
        <v/>
      </c>
      <c r="D26" s="22"/>
      <c r="E26" s="21"/>
      <c r="F26" s="21" t="str">
        <f>IFERROR(VLOOKUP(E26,member_name!A14:B33,2,FALSE),"")</f>
        <v/>
      </c>
      <c r="G26" s="21" t="str">
        <f ca="1">IFERROR(VLOOKUP(B26,hsnrange,3,0),"")</f>
        <v/>
      </c>
      <c r="H26" s="22"/>
      <c r="I26" s="21" t="str">
        <f t="shared" ca="1" si="0"/>
        <v/>
      </c>
      <c r="J26" s="12"/>
    </row>
    <row r="27" spans="1:13" ht="15.6" x14ac:dyDescent="0.3">
      <c r="A27" s="22" t="str">
        <f t="shared" ref="A27:A30" si="2">IF(ISBLANK(B27),"",A26+1)</f>
        <v/>
      </c>
      <c r="B27" s="22"/>
      <c r="C27" s="21" t="str">
        <f ca="1">IFERROR(VLOOKUP(B27,hsnrange,2,0),"")</f>
        <v/>
      </c>
      <c r="D27" s="23"/>
      <c r="E27" s="21"/>
      <c r="F27" s="21" t="str">
        <f>IFERROR(VLOOKUP(E27,member_name!A15:B34,2,FALSE),"")</f>
        <v/>
      </c>
      <c r="G27" s="21" t="str">
        <f ca="1">IFERROR(VLOOKUP(B27,hsnrange,3,0),"")</f>
        <v/>
      </c>
      <c r="H27" s="22"/>
      <c r="I27" s="21" t="str">
        <f t="shared" ca="1" si="0"/>
        <v/>
      </c>
      <c r="J27" s="12"/>
    </row>
    <row r="28" spans="1:13" ht="15.6" x14ac:dyDescent="0.3">
      <c r="A28" s="22" t="str">
        <f t="shared" si="2"/>
        <v/>
      </c>
      <c r="B28" s="22"/>
      <c r="C28" s="21" t="str">
        <f ca="1">IFERROR(VLOOKUP(B28,hsnrange,2,0),"")</f>
        <v/>
      </c>
      <c r="D28" s="22"/>
      <c r="E28" s="21"/>
      <c r="F28" s="21" t="str">
        <f>IFERROR(VLOOKUP(E28,member_name!A16:B35,2,FALSE),"")</f>
        <v/>
      </c>
      <c r="G28" s="21" t="str">
        <f ca="1">IFERROR(VLOOKUP(B28,hsnrange,3,0),"")</f>
        <v/>
      </c>
      <c r="H28" s="22"/>
      <c r="I28" s="21" t="str">
        <f t="shared" ca="1" si="0"/>
        <v/>
      </c>
      <c r="J28" s="12"/>
      <c r="M28">
        <f>COUNTA($B$14:$B$35)</f>
        <v>1</v>
      </c>
    </row>
    <row r="29" spans="1:13" ht="15.6" x14ac:dyDescent="0.3">
      <c r="A29" s="22" t="str">
        <f t="shared" si="2"/>
        <v/>
      </c>
      <c r="B29" s="22"/>
      <c r="C29" s="21" t="str">
        <f ca="1">IFERROR(VLOOKUP(B29,hsnrange,2,0),"")</f>
        <v/>
      </c>
      <c r="D29" s="22"/>
      <c r="E29" s="21"/>
      <c r="F29" s="21" t="str">
        <f>IFERROR(VLOOKUP(E29,member_name!A17:B36,2,FALSE),"")</f>
        <v/>
      </c>
      <c r="G29" s="21" t="str">
        <f ca="1">IFERROR(VLOOKUP(B29,hsnrange,3,0),"")</f>
        <v/>
      </c>
      <c r="H29" s="22"/>
      <c r="I29" s="21" t="str">
        <f t="shared" ca="1" si="0"/>
        <v/>
      </c>
      <c r="J29" s="12"/>
    </row>
    <row r="30" spans="1:13" ht="15.6" x14ac:dyDescent="0.3">
      <c r="A30" s="22" t="str">
        <f t="shared" si="2"/>
        <v/>
      </c>
      <c r="B30" s="22"/>
      <c r="C30" s="21" t="str">
        <f ca="1">IFERROR(VLOOKUP(B30,hsnrange,2,0),"")</f>
        <v/>
      </c>
      <c r="D30" s="22"/>
      <c r="E30" s="21"/>
      <c r="F30" s="21" t="str">
        <f>IFERROR(VLOOKUP(E30,member_name!A18:B37,2,FALSE),"")</f>
        <v/>
      </c>
      <c r="G30" s="21" t="str">
        <f ca="1">IFERROR(VLOOKUP(B30,hsnrange,3,0),"")</f>
        <v/>
      </c>
      <c r="H30" s="22"/>
      <c r="I30" s="21" t="str">
        <f t="shared" ca="1" si="0"/>
        <v/>
      </c>
      <c r="J30" s="12"/>
    </row>
    <row r="31" spans="1:13" ht="15.6" x14ac:dyDescent="0.3">
      <c r="A31" s="22" t="str">
        <f>IF(ISBLANK(B31),"",A29+1)</f>
        <v/>
      </c>
      <c r="B31" s="22"/>
      <c r="C31" s="21" t="str">
        <f ca="1">IFERROR(VLOOKUP(B31,hsnrange,2,0),"")</f>
        <v/>
      </c>
      <c r="D31" s="22"/>
      <c r="E31" s="21"/>
      <c r="F31" s="21" t="str">
        <f>IFERROR(VLOOKUP(E31,member_name!A19:B38,2,FALSE),"")</f>
        <v/>
      </c>
      <c r="G31" s="21" t="str">
        <f ca="1">IFERROR(VLOOKUP(B31,hsnrange,3,0),"")</f>
        <v/>
      </c>
      <c r="H31" s="22"/>
      <c r="I31" s="21" t="str">
        <f t="shared" ca="1" si="0"/>
        <v/>
      </c>
      <c r="J31" s="12"/>
    </row>
    <row r="32" spans="1:13" ht="15.6" x14ac:dyDescent="0.3">
      <c r="A32" s="22" t="str">
        <f>IF(ISBLANK(B32),"",A27+1)</f>
        <v/>
      </c>
      <c r="B32" s="22"/>
      <c r="C32" s="21" t="str">
        <f ca="1">IFERROR(VLOOKUP(B32,hsnrange,2,0),"")</f>
        <v/>
      </c>
      <c r="D32" s="22"/>
      <c r="E32" s="21"/>
      <c r="F32" s="21" t="str">
        <f>IFERROR(VLOOKUP(E32,member_name!A20:B39,2,FALSE),"")</f>
        <v/>
      </c>
      <c r="G32" s="21" t="str">
        <f ca="1">IFERROR(VLOOKUP(B32,hsnrange,3,0),"")</f>
        <v/>
      </c>
      <c r="H32" s="22"/>
      <c r="I32" s="21" t="str">
        <f t="shared" ca="1" si="0"/>
        <v/>
      </c>
      <c r="J32" s="12"/>
    </row>
    <row r="33" spans="1:9" ht="15.6" x14ac:dyDescent="0.3">
      <c r="A33" s="22" t="str">
        <f>IF(ISBLANK(B33),"",A28+1)</f>
        <v/>
      </c>
      <c r="B33" s="22"/>
      <c r="C33" s="21" t="str">
        <f ca="1">IFERROR(VLOOKUP(B33,hsnrange,2,0),"")</f>
        <v/>
      </c>
      <c r="D33" s="22"/>
      <c r="E33" s="21"/>
      <c r="F33" s="21" t="str">
        <f>IFERROR(VLOOKUP(E33,member_name!A21:B40,2,FALSE),"")</f>
        <v/>
      </c>
      <c r="G33" s="21" t="str">
        <f ca="1">IFERROR(VLOOKUP(B33,hsnrange,3,0),"")</f>
        <v/>
      </c>
      <c r="H33" s="22"/>
      <c r="I33" s="21" t="str">
        <f t="shared" ca="1" si="0"/>
        <v/>
      </c>
    </row>
    <row r="34" spans="1:9" ht="15.6" x14ac:dyDescent="0.3">
      <c r="A34" s="22" t="str">
        <f>IF(ISBLANK(B34),"",A29+1)</f>
        <v/>
      </c>
      <c r="B34" s="22"/>
      <c r="C34" s="21" t="str">
        <f ca="1">IFERROR(VLOOKUP(B34,hsnrange,2,0),"")</f>
        <v/>
      </c>
      <c r="D34" s="22"/>
      <c r="E34" s="21"/>
      <c r="F34" s="21" t="str">
        <f>IFERROR(VLOOKUP(E34,member_name!A22:B41,2,FALSE),"")</f>
        <v/>
      </c>
      <c r="G34" s="21" t="str">
        <f ca="1">IFERROR(VLOOKUP(B34,hsnrange,3,0),"")</f>
        <v/>
      </c>
      <c r="H34" s="22"/>
      <c r="I34" s="21" t="str">
        <f t="shared" ca="1" si="0"/>
        <v/>
      </c>
    </row>
    <row r="35" spans="1:9" ht="15.6" x14ac:dyDescent="0.3">
      <c r="A35" s="22" t="str">
        <f>IF(ISBLANK(B35),"",A30+1)</f>
        <v/>
      </c>
      <c r="B35" s="22"/>
      <c r="C35" s="21" t="str">
        <f ca="1">IFERROR(VLOOKUP(B35,hsnrange,2,0),"")</f>
        <v/>
      </c>
      <c r="D35" s="22"/>
      <c r="E35" s="21"/>
      <c r="F35" s="21" t="str">
        <f>IFERROR(VLOOKUP(E35,member_name!A23:B42,2,FALSE),"")</f>
        <v/>
      </c>
      <c r="G35" s="21" t="str">
        <f ca="1">IFERROR(VLOOKUP(B35,hsnrange,3,0),"")</f>
        <v/>
      </c>
      <c r="H35" s="22"/>
      <c r="I35" s="21" t="str">
        <f t="shared" ca="1" si="0"/>
        <v/>
      </c>
    </row>
    <row r="36" spans="1:9" ht="15.6" x14ac:dyDescent="0.3">
      <c r="A36" s="24"/>
      <c r="B36" s="25"/>
      <c r="C36" s="25"/>
      <c r="D36" s="25"/>
      <c r="E36" s="25"/>
      <c r="F36" s="25"/>
      <c r="G36" s="61" t="s">
        <v>72</v>
      </c>
      <c r="H36" s="61"/>
      <c r="I36" s="29">
        <f ca="1">SUM($I$14:$I$35)</f>
        <v>17</v>
      </c>
    </row>
    <row r="37" spans="1:9" ht="15.6" x14ac:dyDescent="0.3">
      <c r="A37" s="26"/>
      <c r="B37" s="16"/>
      <c r="C37" s="16"/>
      <c r="D37" s="16"/>
      <c r="E37" s="16"/>
      <c r="F37" s="16"/>
      <c r="G37" s="61" t="s">
        <v>73</v>
      </c>
      <c r="H37" s="61"/>
      <c r="I37" s="30"/>
    </row>
    <row r="38" spans="1:9" ht="15.6" x14ac:dyDescent="0.3">
      <c r="A38" s="26"/>
      <c r="B38" s="16"/>
      <c r="C38" s="16"/>
      <c r="D38" s="16"/>
      <c r="E38" s="16"/>
      <c r="F38" s="16"/>
      <c r="G38" s="57" t="s">
        <v>87</v>
      </c>
      <c r="H38" s="58"/>
      <c r="I38" s="29"/>
    </row>
    <row r="39" spans="1:9" ht="18" x14ac:dyDescent="0.3">
      <c r="A39" s="27"/>
      <c r="B39" s="28"/>
      <c r="C39" s="28"/>
      <c r="D39" s="28"/>
      <c r="E39" s="28"/>
      <c r="F39" s="28"/>
      <c r="G39" s="56" t="s">
        <v>74</v>
      </c>
      <c r="H39" s="56"/>
      <c r="I39" s="31">
        <f ca="1">SUM($I$14:$I$35)</f>
        <v>17</v>
      </c>
    </row>
  </sheetData>
  <mergeCells count="23">
    <mergeCell ref="S1:U1"/>
    <mergeCell ref="E1:I1"/>
    <mergeCell ref="A6:B6"/>
    <mergeCell ref="A7:B7"/>
    <mergeCell ref="A12:I12"/>
    <mergeCell ref="A2:B2"/>
    <mergeCell ref="A3:B3"/>
    <mergeCell ref="D5:E5"/>
    <mergeCell ref="F8:G8"/>
    <mergeCell ref="H7:I7"/>
    <mergeCell ref="H8:I8"/>
    <mergeCell ref="D4:E4"/>
    <mergeCell ref="F4:G4"/>
    <mergeCell ref="F7:G7"/>
    <mergeCell ref="F5:G5"/>
    <mergeCell ref="J1:N1"/>
    <mergeCell ref="A1:D1"/>
    <mergeCell ref="O1:P1"/>
    <mergeCell ref="G39:H39"/>
    <mergeCell ref="G38:H38"/>
    <mergeCell ref="J13:L13"/>
    <mergeCell ref="G36:H36"/>
    <mergeCell ref="G37:H37"/>
  </mergeCells>
  <conditionalFormatting sqref="E14:E30 E35">
    <cfRule type="expression" dxfId="10" priority="55">
      <formula>$D14="No"</formula>
    </cfRule>
  </conditionalFormatting>
  <conditionalFormatting sqref="F14">
    <cfRule type="expression" dxfId="9" priority="56">
      <formula>$D14 = "No"</formula>
    </cfRule>
  </conditionalFormatting>
  <conditionalFormatting sqref="E31">
    <cfRule type="expression" dxfId="8" priority="8">
      <formula>$D31="No"</formula>
    </cfRule>
  </conditionalFormatting>
  <conditionalFormatting sqref="E34">
    <cfRule type="expression" dxfId="6" priority="6">
      <formula>$D34="No"</formula>
    </cfRule>
  </conditionalFormatting>
  <conditionalFormatting sqref="E33">
    <cfRule type="expression" dxfId="4" priority="4">
      <formula>$D33="No"</formula>
    </cfRule>
  </conditionalFormatting>
  <conditionalFormatting sqref="E32">
    <cfRule type="expression" dxfId="2" priority="2">
      <formula>$D32="No"</formula>
    </cfRule>
  </conditionalFormatting>
  <conditionalFormatting sqref="F15:F35">
    <cfRule type="expression" dxfId="0" priority="1">
      <formula>$D15 = "No"</formula>
    </cfRule>
  </conditionalFormatting>
  <dataValidations count="4">
    <dataValidation operator="equal" allowBlank="1" showInputMessage="1" showErrorMessage="1" sqref="B9"/>
    <dataValidation type="list" allowBlank="1" showInputMessage="1" showErrorMessage="1" sqref="B8">
      <formula1>customar</formula1>
    </dataValidation>
    <dataValidation type="list" allowBlank="1" showInputMessage="1" showErrorMessage="1" sqref="D14:D22">
      <formula1>"Yes,No"</formula1>
    </dataValidation>
    <dataValidation type="list" allowBlank="1" showInputMessage="1" showErrorMessage="1" sqref="B14:B35">
      <formula1>sdescription</formula1>
    </dataValidation>
  </dataValidations>
  <pageMargins left="0.25" right="0.25" top="0.75" bottom="0.75" header="0.3" footer="0.3"/>
  <pageSetup paperSize="3" scale="79" orientation="portrait" blackAndWhite="1" useFirstPageNumber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9" r:id="rId4" name="Button 95">
              <controlPr defaultSize="0" print="0" autoFill="0" autoPict="0" macro="[0]!Sheet1.searchdata">
                <anchor moveWithCells="1">
                  <from>
                    <xdr:col>14</xdr:col>
                    <xdr:colOff>53340</xdr:colOff>
                    <xdr:row>0</xdr:row>
                    <xdr:rowOff>0</xdr:rowOff>
                  </from>
                  <to>
                    <xdr:col>15</xdr:col>
                    <xdr:colOff>579120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5" name="Button 118">
              <controlPr defaultSize="0" print="0" autoFill="0" autoPict="0" macro="[0]!Sheet1.CommandButton24_Click">
                <anchor moveWithCells="1" sizeWithCells="1">
                  <from>
                    <xdr:col>9</xdr:col>
                    <xdr:colOff>45720</xdr:colOff>
                    <xdr:row>1</xdr:row>
                    <xdr:rowOff>198120</xdr:rowOff>
                  </from>
                  <to>
                    <xdr:col>10</xdr:col>
                    <xdr:colOff>487680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6" name="Button 119">
              <controlPr defaultSize="0" print="0" autoFill="0" autoPict="0" macro="[0]!Sheet1.printdata">
                <anchor moveWithCells="1" sizeWithCells="1">
                  <from>
                    <xdr:col>11</xdr:col>
                    <xdr:colOff>99060</xdr:colOff>
                    <xdr:row>1</xdr:row>
                    <xdr:rowOff>160020</xdr:rowOff>
                  </from>
                  <to>
                    <xdr:col>12</xdr:col>
                    <xdr:colOff>563880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7" name="Button 120">
              <controlPr defaultSize="0" print="0" autoFill="0" autoPict="0" macro="[0]!Sheet1.new_invoice">
                <anchor moveWithCells="1" sizeWithCells="1">
                  <from>
                    <xdr:col>13</xdr:col>
                    <xdr:colOff>144780</xdr:colOff>
                    <xdr:row>1</xdr:row>
                    <xdr:rowOff>144780</xdr:rowOff>
                  </from>
                  <to>
                    <xdr:col>15</xdr:col>
                    <xdr:colOff>579120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states!$A$3:$A$32</xm:f>
          </x14:formula1>
          <xm:sqref>B11</xm:sqref>
        </x14:dataValidation>
        <x14:dataValidation type="list" allowBlank="1" showInputMessage="1" showErrorMessage="1">
          <x14:formula1>
            <xm:f>invoice_data!$T$7:$T$1000</xm:f>
          </x14:formula1>
          <xm:sqref>J1:N1</xm:sqref>
        </x14:dataValidation>
        <x14:dataValidation type="list" allowBlank="1" showInputMessage="1" showErrorMessage="1">
          <x14:formula1>
            <xm:f>member_name!$A$2:$A$100</xm:f>
          </x14:formula1>
          <xm:sqref>E14:E35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"/>
  <sheetViews>
    <sheetView workbookViewId="0">
      <selection activeCell="G2" sqref="G2"/>
    </sheetView>
  </sheetViews>
  <sheetFormatPr defaultRowHeight="14.4" x14ac:dyDescent="0.3"/>
  <cols>
    <col min="1" max="1" width="16.6640625" customWidth="1"/>
    <col min="2" max="2" width="23.44140625" customWidth="1"/>
    <col min="3" max="3" width="17" customWidth="1"/>
    <col min="4" max="4" width="19.33203125" customWidth="1"/>
  </cols>
  <sheetData>
    <row r="1" spans="1:7" x14ac:dyDescent="0.3">
      <c r="A1" t="s">
        <v>15</v>
      </c>
      <c r="B1" t="s">
        <v>16</v>
      </c>
      <c r="C1" t="s">
        <v>2</v>
      </c>
      <c r="D1" t="s">
        <v>3</v>
      </c>
    </row>
    <row r="2" spans="1:7" x14ac:dyDescent="0.3">
      <c r="A2" t="s">
        <v>56</v>
      </c>
      <c r="B2">
        <v>122312312312334</v>
      </c>
      <c r="C2" t="s">
        <v>57</v>
      </c>
      <c r="D2" t="s">
        <v>58</v>
      </c>
      <c r="G2">
        <f>COUNTA(A2:A1000)</f>
        <v>3</v>
      </c>
    </row>
    <row r="3" spans="1:7" x14ac:dyDescent="0.3">
      <c r="A3" t="s">
        <v>59</v>
      </c>
      <c r="B3">
        <v>123456789012354</v>
      </c>
      <c r="C3" t="s">
        <v>60</v>
      </c>
      <c r="D3" t="s">
        <v>60</v>
      </c>
    </row>
    <row r="4" spans="1:7" x14ac:dyDescent="0.3">
      <c r="A4" t="s">
        <v>67</v>
      </c>
      <c r="B4">
        <v>123456789123456</v>
      </c>
      <c r="C4" t="s">
        <v>68</v>
      </c>
      <c r="D4" t="s">
        <v>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2"/>
  <sheetViews>
    <sheetView topLeftCell="A3" workbookViewId="0">
      <selection activeCell="A13" sqref="A13:XFD13"/>
    </sheetView>
  </sheetViews>
  <sheetFormatPr defaultRowHeight="14.4" x14ac:dyDescent="0.3"/>
  <cols>
    <col min="1" max="1" width="29.21875" customWidth="1"/>
  </cols>
  <sheetData>
    <row r="1" spans="1:1" x14ac:dyDescent="0.3">
      <c r="A1" s="85" t="s">
        <v>3</v>
      </c>
    </row>
    <row r="2" spans="1:1" ht="15" thickBot="1" x14ac:dyDescent="0.35">
      <c r="A2" s="86"/>
    </row>
    <row r="3" spans="1:1" x14ac:dyDescent="0.3">
      <c r="A3" s="87" t="s">
        <v>18</v>
      </c>
    </row>
    <row r="4" spans="1:1" ht="15" thickBot="1" x14ac:dyDescent="0.35">
      <c r="A4" s="86"/>
    </row>
    <row r="5" spans="1:1" ht="15" thickBot="1" x14ac:dyDescent="0.35">
      <c r="A5" s="1" t="s">
        <v>19</v>
      </c>
    </row>
    <row r="6" spans="1:1" ht="15" thickBot="1" x14ac:dyDescent="0.35">
      <c r="A6" s="2" t="s">
        <v>20</v>
      </c>
    </row>
    <row r="7" spans="1:1" ht="15" thickBot="1" x14ac:dyDescent="0.35">
      <c r="A7" s="1" t="s">
        <v>21</v>
      </c>
    </row>
    <row r="8" spans="1:1" ht="15" thickBot="1" x14ac:dyDescent="0.35">
      <c r="A8" s="1" t="s">
        <v>22</v>
      </c>
    </row>
    <row r="9" spans="1:1" ht="15" thickBot="1" x14ac:dyDescent="0.35">
      <c r="A9" s="1" t="s">
        <v>23</v>
      </c>
    </row>
    <row r="10" spans="1:1" ht="15" thickBot="1" x14ac:dyDescent="0.35">
      <c r="A10" s="1" t="s">
        <v>24</v>
      </c>
    </row>
    <row r="11" spans="1:1" ht="15" thickBot="1" x14ac:dyDescent="0.35">
      <c r="A11" s="2" t="s">
        <v>25</v>
      </c>
    </row>
    <row r="12" spans="1:1" x14ac:dyDescent="0.3">
      <c r="A12" s="8" t="s">
        <v>26</v>
      </c>
    </row>
    <row r="13" spans="1:1" ht="15" thickBot="1" x14ac:dyDescent="0.35">
      <c r="A13" s="7" t="s">
        <v>27</v>
      </c>
    </row>
    <row r="14" spans="1:1" ht="15" thickBot="1" x14ac:dyDescent="0.35">
      <c r="A14" s="1" t="s">
        <v>28</v>
      </c>
    </row>
    <row r="15" spans="1:1" ht="15" thickBot="1" x14ac:dyDescent="0.35">
      <c r="A15" s="1" t="s">
        <v>29</v>
      </c>
    </row>
    <row r="16" spans="1:1" ht="15" thickBot="1" x14ac:dyDescent="0.35">
      <c r="A16" s="1" t="s">
        <v>30</v>
      </c>
    </row>
    <row r="17" spans="1:1" ht="15" thickBot="1" x14ac:dyDescent="0.35">
      <c r="A17" s="1" t="s">
        <v>31</v>
      </c>
    </row>
    <row r="18" spans="1:1" ht="15" thickBot="1" x14ac:dyDescent="0.35">
      <c r="A18" s="2" t="s">
        <v>32</v>
      </c>
    </row>
    <row r="19" spans="1:1" ht="15" thickBot="1" x14ac:dyDescent="0.35">
      <c r="A19" s="1" t="s">
        <v>33</v>
      </c>
    </row>
    <row r="20" spans="1:1" ht="15" thickBot="1" x14ac:dyDescent="0.35">
      <c r="A20" s="2" t="s">
        <v>34</v>
      </c>
    </row>
    <row r="21" spans="1:1" ht="15" thickBot="1" x14ac:dyDescent="0.35">
      <c r="A21" s="3" t="s">
        <v>35</v>
      </c>
    </row>
    <row r="22" spans="1:1" ht="15" thickBot="1" x14ac:dyDescent="0.35">
      <c r="A22" s="1" t="s">
        <v>36</v>
      </c>
    </row>
    <row r="23" spans="1:1" ht="15" thickBot="1" x14ac:dyDescent="0.35">
      <c r="A23" s="4" t="s">
        <v>37</v>
      </c>
    </row>
    <row r="24" spans="1:1" ht="15" thickBot="1" x14ac:dyDescent="0.35">
      <c r="A24" s="2" t="s">
        <v>38</v>
      </c>
    </row>
    <row r="25" spans="1:1" ht="15" thickBot="1" x14ac:dyDescent="0.35">
      <c r="A25" s="1" t="s">
        <v>39</v>
      </c>
    </row>
    <row r="26" spans="1:1" ht="15" thickBot="1" x14ac:dyDescent="0.35">
      <c r="A26" s="5" t="s">
        <v>40</v>
      </c>
    </row>
    <row r="27" spans="1:1" ht="15" thickBot="1" x14ac:dyDescent="0.35">
      <c r="A27" s="1" t="s">
        <v>41</v>
      </c>
    </row>
    <row r="28" spans="1:1" ht="15" thickBot="1" x14ac:dyDescent="0.35">
      <c r="A28" s="2" t="s">
        <v>42</v>
      </c>
    </row>
    <row r="29" spans="1:1" ht="15" thickBot="1" x14ac:dyDescent="0.35">
      <c r="A29" s="3" t="s">
        <v>43</v>
      </c>
    </row>
    <row r="30" spans="1:1" ht="15" thickBot="1" x14ac:dyDescent="0.35">
      <c r="A30" s="2" t="s">
        <v>44</v>
      </c>
    </row>
    <row r="31" spans="1:1" ht="15" thickBot="1" x14ac:dyDescent="0.35">
      <c r="A31" s="1" t="s">
        <v>45</v>
      </c>
    </row>
    <row r="32" spans="1:1" ht="15" thickBot="1" x14ac:dyDescent="0.35">
      <c r="A32" s="6" t="s">
        <v>46</v>
      </c>
    </row>
  </sheetData>
  <mergeCells count="2">
    <mergeCell ref="A1:A2"/>
    <mergeCell ref="A3:A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workbookViewId="0">
      <selection activeCell="D25" sqref="D25"/>
    </sheetView>
  </sheetViews>
  <sheetFormatPr defaultRowHeight="14.4" x14ac:dyDescent="0.3"/>
  <cols>
    <col min="1" max="1" width="17.5546875" customWidth="1"/>
    <col min="2" max="2" width="16.5546875" customWidth="1"/>
    <col min="3" max="3" width="17.77734375" customWidth="1"/>
  </cols>
  <sheetData>
    <row r="1" spans="1:8" x14ac:dyDescent="0.3">
      <c r="A1" t="s">
        <v>13</v>
      </c>
      <c r="B1" t="s">
        <v>5</v>
      </c>
      <c r="C1" t="s">
        <v>9</v>
      </c>
      <c r="H1">
        <f>COUNTA(A2:A1000)</f>
        <v>6</v>
      </c>
    </row>
    <row r="2" spans="1:8" x14ac:dyDescent="0.3">
      <c r="A2" t="s">
        <v>61</v>
      </c>
      <c r="B2">
        <v>34565</v>
      </c>
      <c r="C2">
        <v>10</v>
      </c>
    </row>
    <row r="3" spans="1:8" x14ac:dyDescent="0.3">
      <c r="A3" t="s">
        <v>62</v>
      </c>
      <c r="B3">
        <v>34576</v>
      </c>
      <c r="C3">
        <v>100</v>
      </c>
      <c r="H3">
        <f>COUNTA(C2:C1000)</f>
        <v>6</v>
      </c>
    </row>
    <row r="4" spans="1:8" x14ac:dyDescent="0.3">
      <c r="A4" t="s">
        <v>63</v>
      </c>
      <c r="B4">
        <v>456677</v>
      </c>
      <c r="C4">
        <v>10</v>
      </c>
    </row>
    <row r="5" spans="1:8" x14ac:dyDescent="0.3">
      <c r="A5" t="s">
        <v>64</v>
      </c>
      <c r="B5">
        <v>2345</v>
      </c>
      <c r="C5">
        <v>20</v>
      </c>
    </row>
    <row r="6" spans="1:8" x14ac:dyDescent="0.3">
      <c r="A6" t="s">
        <v>65</v>
      </c>
      <c r="B6">
        <v>12345</v>
      </c>
      <c r="C6">
        <v>10</v>
      </c>
    </row>
    <row r="7" spans="1:8" x14ac:dyDescent="0.3">
      <c r="A7" t="s">
        <v>66</v>
      </c>
      <c r="B7">
        <v>123</v>
      </c>
      <c r="C7">
        <v>1000</v>
      </c>
    </row>
  </sheetData>
  <sheetProtection algorithmName="SHA-512" hashValue="FEcQL0Kmd7rryQVngc3TIzt9sUg4jLe+idpCJAOsTR3xazSLbAulYtSRXO6prtZCxyODpm14stzBd8WhY1UrzA==" saltValue="vYV3Ak+BfjCEWkOHjfCvP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D11" sqref="D11"/>
    </sheetView>
  </sheetViews>
  <sheetFormatPr defaultRowHeight="14.4" x14ac:dyDescent="0.3"/>
  <sheetData>
    <row r="1" spans="1:5" x14ac:dyDescent="0.3">
      <c r="A1" t="s">
        <v>59</v>
      </c>
      <c r="B1">
        <v>123456789012354</v>
      </c>
      <c r="C1" t="s">
        <v>60</v>
      </c>
      <c r="D1" t="s">
        <v>60</v>
      </c>
      <c r="E1" t="s">
        <v>60</v>
      </c>
    </row>
    <row r="2" spans="1:5" x14ac:dyDescent="0.3">
      <c r="A2" t="s">
        <v>59</v>
      </c>
      <c r="B2">
        <v>123456789012354</v>
      </c>
      <c r="C2" t="s">
        <v>60</v>
      </c>
      <c r="D2" t="s">
        <v>60</v>
      </c>
    </row>
    <row r="3" spans="1:5" x14ac:dyDescent="0.3">
      <c r="A3" t="s">
        <v>59</v>
      </c>
      <c r="B3">
        <v>123456789012354</v>
      </c>
      <c r="C3" t="s">
        <v>60</v>
      </c>
      <c r="D3" t="s">
        <v>60</v>
      </c>
    </row>
    <row r="4" spans="1:5" x14ac:dyDescent="0.3">
      <c r="A4" t="s">
        <v>59</v>
      </c>
      <c r="B4">
        <v>123456789012354</v>
      </c>
      <c r="C4" t="s">
        <v>60</v>
      </c>
      <c r="D4" t="s">
        <v>60</v>
      </c>
    </row>
    <row r="5" spans="1:5" x14ac:dyDescent="0.3">
      <c r="A5" t="s">
        <v>59</v>
      </c>
      <c r="B5">
        <v>123456789012354</v>
      </c>
      <c r="C5" t="s">
        <v>60</v>
      </c>
      <c r="D5" t="s">
        <v>60</v>
      </c>
    </row>
    <row r="6" spans="1:5" x14ac:dyDescent="0.3">
      <c r="A6" t="s">
        <v>59</v>
      </c>
      <c r="B6">
        <v>123456789012354</v>
      </c>
      <c r="C6" t="s">
        <v>60</v>
      </c>
      <c r="D6" t="s">
        <v>60</v>
      </c>
    </row>
    <row r="7" spans="1:5" x14ac:dyDescent="0.3">
      <c r="A7" t="s">
        <v>59</v>
      </c>
      <c r="B7">
        <v>123456789012354</v>
      </c>
      <c r="C7" t="s">
        <v>60</v>
      </c>
      <c r="D7" t="s">
        <v>60</v>
      </c>
    </row>
    <row r="8" spans="1:5" x14ac:dyDescent="0.3">
      <c r="A8" t="s">
        <v>59</v>
      </c>
      <c r="B8">
        <v>123456789012354</v>
      </c>
      <c r="C8" t="s">
        <v>60</v>
      </c>
      <c r="D8" t="s">
        <v>60</v>
      </c>
    </row>
    <row r="9" spans="1:5" x14ac:dyDescent="0.3">
      <c r="A9" t="s">
        <v>59</v>
      </c>
      <c r="B9">
        <v>123456789012354</v>
      </c>
      <c r="C9" t="s">
        <v>60</v>
      </c>
      <c r="D9" t="s">
        <v>60</v>
      </c>
    </row>
    <row r="10" spans="1:5" x14ac:dyDescent="0.3">
      <c r="A10" t="s">
        <v>59</v>
      </c>
      <c r="B10">
        <v>123456789012354</v>
      </c>
      <c r="C10" t="s">
        <v>60</v>
      </c>
      <c r="D10" t="s">
        <v>60</v>
      </c>
    </row>
    <row r="11" spans="1:5" x14ac:dyDescent="0.3">
      <c r="A11" t="s">
        <v>59</v>
      </c>
      <c r="B11">
        <v>123456789012354</v>
      </c>
      <c r="C11" t="s">
        <v>60</v>
      </c>
      <c r="D11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"/>
  <sheetViews>
    <sheetView workbookViewId="0">
      <selection activeCell="J29" sqref="J29"/>
    </sheetView>
  </sheetViews>
  <sheetFormatPr defaultRowHeight="14.4" x14ac:dyDescent="0.3"/>
  <cols>
    <col min="1" max="2" width="10.44140625" customWidth="1"/>
    <col min="3" max="3" width="8.88671875" customWidth="1"/>
  </cols>
  <sheetData>
    <row r="1" spans="1:5" x14ac:dyDescent="0.3">
      <c r="A1" t="s">
        <v>14</v>
      </c>
      <c r="B1" t="s">
        <v>17</v>
      </c>
    </row>
    <row r="2" spans="1:5" x14ac:dyDescent="0.3">
      <c r="A2">
        <v>1234</v>
      </c>
      <c r="B2" t="s">
        <v>12</v>
      </c>
      <c r="E2">
        <f>COUNTA(A2:A1000)</f>
        <v>10</v>
      </c>
    </row>
    <row r="3" spans="1:5" x14ac:dyDescent="0.3">
      <c r="A3">
        <v>5678</v>
      </c>
      <c r="B3" t="s">
        <v>47</v>
      </c>
    </row>
    <row r="4" spans="1:5" x14ac:dyDescent="0.3">
      <c r="A4">
        <v>9101</v>
      </c>
      <c r="B4" t="s">
        <v>48</v>
      </c>
    </row>
    <row r="5" spans="1:5" x14ac:dyDescent="0.3">
      <c r="A5">
        <v>1121</v>
      </c>
      <c r="B5" t="s">
        <v>49</v>
      </c>
    </row>
    <row r="6" spans="1:5" x14ac:dyDescent="0.3">
      <c r="A6">
        <v>1314</v>
      </c>
      <c r="B6" t="s">
        <v>50</v>
      </c>
    </row>
    <row r="7" spans="1:5" x14ac:dyDescent="0.3">
      <c r="A7">
        <v>1516</v>
      </c>
      <c r="B7" t="s">
        <v>51</v>
      </c>
    </row>
    <row r="8" spans="1:5" x14ac:dyDescent="0.3">
      <c r="A8">
        <v>1718</v>
      </c>
      <c r="B8" t="s">
        <v>52</v>
      </c>
    </row>
    <row r="9" spans="1:5" x14ac:dyDescent="0.3">
      <c r="A9">
        <v>1920</v>
      </c>
      <c r="B9" t="s">
        <v>53</v>
      </c>
    </row>
    <row r="10" spans="1:5" x14ac:dyDescent="0.3">
      <c r="A10">
        <v>2122</v>
      </c>
      <c r="B10" t="s">
        <v>54</v>
      </c>
    </row>
    <row r="11" spans="1:5" x14ac:dyDescent="0.3">
      <c r="A11">
        <v>2324</v>
      </c>
      <c r="B11" t="s">
        <v>55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2594"/>
  <sheetViews>
    <sheetView topLeftCell="A13" workbookViewId="0">
      <selection activeCell="S27" sqref="S27"/>
    </sheetView>
  </sheetViews>
  <sheetFormatPr defaultRowHeight="14.4" x14ac:dyDescent="0.3"/>
  <cols>
    <col min="1" max="1" width="13.88671875" customWidth="1"/>
    <col min="2" max="2" width="18.21875" customWidth="1"/>
    <col min="3" max="3" width="18" customWidth="1"/>
    <col min="4" max="4" width="11.33203125" customWidth="1"/>
    <col min="5" max="5" width="24.77734375" customWidth="1"/>
    <col min="6" max="6" width="21" customWidth="1"/>
    <col min="7" max="7" width="16.109375" customWidth="1"/>
    <col min="8" max="8" width="16.6640625" customWidth="1"/>
    <col min="9" max="9" width="11.33203125" customWidth="1"/>
    <col min="10" max="10" width="12.88671875" customWidth="1"/>
    <col min="11" max="11" width="18.109375" customWidth="1"/>
    <col min="12" max="14" width="10.44140625" customWidth="1"/>
    <col min="17" max="17" width="12" bestFit="1" customWidth="1"/>
    <col min="19" max="19" width="15.88671875" bestFit="1" customWidth="1"/>
  </cols>
  <sheetData>
    <row r="1" spans="1:41" x14ac:dyDescent="0.3">
      <c r="A1" t="s">
        <v>84</v>
      </c>
      <c r="B1" s="11" t="s">
        <v>0</v>
      </c>
      <c r="C1" s="11" t="s">
        <v>97</v>
      </c>
      <c r="D1" s="10" t="s">
        <v>1</v>
      </c>
      <c r="E1" s="10" t="s">
        <v>76</v>
      </c>
      <c r="F1" s="10" t="s">
        <v>75</v>
      </c>
      <c r="G1" s="10" t="s">
        <v>77</v>
      </c>
      <c r="H1" s="10" t="s">
        <v>5</v>
      </c>
      <c r="I1" s="10" t="s">
        <v>81</v>
      </c>
      <c r="J1" s="10" t="s">
        <v>78</v>
      </c>
      <c r="K1" s="10" t="s">
        <v>79</v>
      </c>
      <c r="L1" s="10" t="s">
        <v>82</v>
      </c>
      <c r="M1" s="10" t="s">
        <v>83</v>
      </c>
      <c r="N1" s="10" t="s">
        <v>80</v>
      </c>
    </row>
    <row r="2" spans="1:41" x14ac:dyDescent="0.3">
      <c r="A2" s="32">
        <v>43682</v>
      </c>
      <c r="B2" s="13" t="s">
        <v>67</v>
      </c>
      <c r="C2" s="13">
        <v>2195</v>
      </c>
      <c r="D2" s="9">
        <v>123456789123456</v>
      </c>
      <c r="E2" s="9" t="s">
        <v>68</v>
      </c>
      <c r="F2" s="9" t="s">
        <v>69</v>
      </c>
      <c r="G2" s="9" t="s">
        <v>63</v>
      </c>
      <c r="H2" s="9">
        <v>456677</v>
      </c>
      <c r="I2" s="9" t="s">
        <v>70</v>
      </c>
      <c r="J2" s="9">
        <v>1314</v>
      </c>
      <c r="K2" s="9" t="s">
        <v>50</v>
      </c>
      <c r="L2" s="9">
        <v>10</v>
      </c>
      <c r="M2" s="9">
        <v>2</v>
      </c>
      <c r="N2" s="9">
        <v>8</v>
      </c>
    </row>
    <row r="3" spans="1:41" x14ac:dyDescent="0.3">
      <c r="A3" s="32">
        <v>43682</v>
      </c>
      <c r="B3" s="13" t="s">
        <v>67</v>
      </c>
      <c r="C3" s="14">
        <v>2195</v>
      </c>
      <c r="D3" s="9">
        <v>123456789123456</v>
      </c>
      <c r="E3" s="9" t="s">
        <v>68</v>
      </c>
      <c r="F3" s="9" t="s">
        <v>69</v>
      </c>
      <c r="G3" s="9" t="s">
        <v>63</v>
      </c>
      <c r="H3" s="9">
        <v>456677</v>
      </c>
      <c r="I3" s="9" t="s">
        <v>71</v>
      </c>
      <c r="J3" s="9">
        <v>1314</v>
      </c>
      <c r="K3" s="9" t="s">
        <v>50</v>
      </c>
      <c r="L3" s="9">
        <v>10</v>
      </c>
      <c r="M3" s="9">
        <v>2</v>
      </c>
      <c r="N3" s="9">
        <v>8</v>
      </c>
      <c r="AO3" t="str">
        <f>IFERROR(INDEX($C$2:$C$16,MATCH(0,COUNTIF($AO$1:AO$1,$C$2:$C$16),0)),"")</f>
        <v/>
      </c>
    </row>
    <row r="4" spans="1:41" x14ac:dyDescent="0.3">
      <c r="A4" s="32">
        <v>43682</v>
      </c>
      <c r="B4" s="13" t="s">
        <v>67</v>
      </c>
      <c r="C4" s="14">
        <v>2195</v>
      </c>
      <c r="D4" s="9">
        <v>123456789123456</v>
      </c>
      <c r="E4" s="9" t="s">
        <v>68</v>
      </c>
      <c r="F4" s="9" t="s">
        <v>69</v>
      </c>
      <c r="G4" s="9" t="s">
        <v>62</v>
      </c>
      <c r="H4" s="9">
        <v>34576</v>
      </c>
      <c r="I4" s="9" t="s">
        <v>71</v>
      </c>
      <c r="J4" s="9">
        <v>1314</v>
      </c>
      <c r="K4" s="9" t="s">
        <v>50</v>
      </c>
      <c r="L4" s="9">
        <v>100</v>
      </c>
      <c r="M4" s="9">
        <v>2</v>
      </c>
      <c r="N4" s="9">
        <v>98</v>
      </c>
      <c r="W4">
        <f>COUNTA(G2:G10004)</f>
        <v>50</v>
      </c>
      <c r="X4" t="s">
        <v>103</v>
      </c>
    </row>
    <row r="5" spans="1:41" x14ac:dyDescent="0.3">
      <c r="A5" s="32">
        <v>43682</v>
      </c>
      <c r="B5" s="13" t="s">
        <v>67</v>
      </c>
      <c r="C5" s="14">
        <v>2195</v>
      </c>
      <c r="D5" s="9">
        <v>123456789123456</v>
      </c>
      <c r="E5" s="9" t="s">
        <v>68</v>
      </c>
      <c r="F5" s="9" t="s">
        <v>69</v>
      </c>
      <c r="G5" s="9" t="s">
        <v>63</v>
      </c>
      <c r="H5" s="9">
        <v>456677</v>
      </c>
      <c r="I5" s="9" t="s">
        <v>71</v>
      </c>
      <c r="J5" s="9">
        <v>1314</v>
      </c>
      <c r="K5" s="9" t="s">
        <v>50</v>
      </c>
      <c r="L5" s="9">
        <v>10</v>
      </c>
      <c r="M5" s="9">
        <v>2</v>
      </c>
      <c r="N5" s="9">
        <v>8</v>
      </c>
      <c r="S5" s="44"/>
      <c r="W5">
        <f>COUNTA(T7:T11)</f>
        <v>5</v>
      </c>
      <c r="X5" t="s">
        <v>104</v>
      </c>
    </row>
    <row r="6" spans="1:41" x14ac:dyDescent="0.3">
      <c r="A6" s="32">
        <v>43682</v>
      </c>
      <c r="B6" s="14" t="s">
        <v>67</v>
      </c>
      <c r="C6" s="14">
        <v>2195</v>
      </c>
      <c r="D6" s="9">
        <v>123456789123456</v>
      </c>
      <c r="E6" s="9" t="s">
        <v>68</v>
      </c>
      <c r="F6" s="9" t="s">
        <v>69</v>
      </c>
      <c r="G6" s="9" t="s">
        <v>65</v>
      </c>
      <c r="H6" s="9">
        <v>12345</v>
      </c>
      <c r="I6" s="9" t="s">
        <v>70</v>
      </c>
      <c r="J6" s="9">
        <v>1314</v>
      </c>
      <c r="K6" s="9" t="s">
        <v>50</v>
      </c>
      <c r="L6" s="9">
        <v>10</v>
      </c>
      <c r="M6" s="9">
        <v>0</v>
      </c>
      <c r="N6" s="9">
        <v>10</v>
      </c>
      <c r="Q6" s="50" t="s">
        <v>99</v>
      </c>
      <c r="R6" s="50" t="s">
        <v>100</v>
      </c>
      <c r="S6" s="51" t="s">
        <v>101</v>
      </c>
      <c r="T6" s="52" t="s">
        <v>102</v>
      </c>
      <c r="U6" s="47"/>
      <c r="V6" s="47"/>
    </row>
    <row r="7" spans="1:41" x14ac:dyDescent="0.3">
      <c r="A7" s="32">
        <v>43682</v>
      </c>
      <c r="B7" s="14" t="s">
        <v>67</v>
      </c>
      <c r="C7" s="14">
        <v>2195</v>
      </c>
      <c r="D7" s="9">
        <v>123456789123456</v>
      </c>
      <c r="E7" s="9" t="s">
        <v>68</v>
      </c>
      <c r="F7" s="9" t="s">
        <v>69</v>
      </c>
      <c r="G7" s="9" t="s">
        <v>62</v>
      </c>
      <c r="H7" s="9">
        <v>34576</v>
      </c>
      <c r="I7" s="9" t="s">
        <v>71</v>
      </c>
      <c r="J7" s="9">
        <v>1314</v>
      </c>
      <c r="K7" s="9" t="s">
        <v>50</v>
      </c>
      <c r="L7" s="9">
        <v>100</v>
      </c>
      <c r="M7" s="9">
        <v>0</v>
      </c>
      <c r="N7" s="9">
        <v>100</v>
      </c>
      <c r="Q7" t="str">
        <f>IFERROR(VLOOKUP(R$7,CHOOSE({1,2},C2:C$30,B2:B$30),2,FALSE),"")</f>
        <v>aabc</v>
      </c>
      <c r="R7">
        <f>IFERROR(INDEX($C$2:$C$100,MATCH(0,INDEX(COUNTIF($R$6:R6,$C$2:$C$100),),0)),"")</f>
        <v>2195</v>
      </c>
      <c r="S7" s="49">
        <f>IFERROR(VLOOKUP(R8,CHOOSE({1,2},C3:C30,A2:A30),2,FALSE),"")</f>
        <v>43682</v>
      </c>
      <c r="T7" s="48" t="str">
        <f>Q7 &amp; "-" &amp;R7 &amp;"-"&amp;TEXT(S7, "DD/MM/YYYY")</f>
        <v>aabc-2195-05/08/2019</v>
      </c>
      <c r="U7" s="47"/>
      <c r="V7" s="47"/>
    </row>
    <row r="8" spans="1:41" x14ac:dyDescent="0.3">
      <c r="A8" s="32">
        <v>43682</v>
      </c>
      <c r="B8" s="14" t="s">
        <v>59</v>
      </c>
      <c r="C8" s="14">
        <v>2196</v>
      </c>
      <c r="D8" s="9">
        <v>123456789012354</v>
      </c>
      <c r="E8" s="9" t="s">
        <v>60</v>
      </c>
      <c r="F8" s="9" t="s">
        <v>60</v>
      </c>
      <c r="G8" s="9" t="s">
        <v>63</v>
      </c>
      <c r="H8" s="9">
        <v>456677</v>
      </c>
      <c r="I8" s="9" t="s">
        <v>70</v>
      </c>
      <c r="J8" s="9">
        <v>1314</v>
      </c>
      <c r="K8" s="9" t="s">
        <v>50</v>
      </c>
      <c r="L8" s="9">
        <v>10</v>
      </c>
      <c r="M8" s="9">
        <v>2</v>
      </c>
      <c r="N8" s="9">
        <v>8</v>
      </c>
      <c r="Q8" t="str">
        <f>IFERROR(VLOOKUP(R8,CHOOSE({1,2},C3:C31,B3:B31),2,FALSE),"")</f>
        <v>bostfin</v>
      </c>
      <c r="R8">
        <f>IFERROR(INDEX($C$2:$C$100,MATCH(0,INDEX(COUNTIF($R$6:R7,$C$2:$C$100),),0)),"")</f>
        <v>2196</v>
      </c>
      <c r="S8" s="49">
        <f>IFERROR(VLOOKUP(R9,CHOOSE({1,2},C4:C31,A3:A31),2,FALSE),"")</f>
        <v>43682</v>
      </c>
      <c r="T8" s="48" t="str">
        <f t="shared" ref="T8:T10" si="0">Q8 &amp; "-" &amp;R8 &amp;"-"&amp;TEXT(S8, "DD/MM/YYYY")</f>
        <v>bostfin-2196-05/08/2019</v>
      </c>
      <c r="U8" s="47"/>
      <c r="V8" s="47"/>
    </row>
    <row r="9" spans="1:41" x14ac:dyDescent="0.3">
      <c r="A9" s="32">
        <v>43682</v>
      </c>
      <c r="B9" s="14" t="s">
        <v>59</v>
      </c>
      <c r="C9" s="14">
        <v>2196</v>
      </c>
      <c r="D9" s="9">
        <v>123456789012354</v>
      </c>
      <c r="E9" s="9" t="s">
        <v>60</v>
      </c>
      <c r="F9" s="9" t="s">
        <v>60</v>
      </c>
      <c r="G9" s="9" t="s">
        <v>63</v>
      </c>
      <c r="H9" s="9">
        <v>456677</v>
      </c>
      <c r="I9" s="9" t="s">
        <v>71</v>
      </c>
      <c r="J9" s="9">
        <v>1314</v>
      </c>
      <c r="K9" s="9" t="s">
        <v>50</v>
      </c>
      <c r="L9" s="9">
        <v>10</v>
      </c>
      <c r="M9" s="9">
        <v>2</v>
      </c>
      <c r="N9" s="9">
        <v>8</v>
      </c>
      <c r="Q9" t="str">
        <f>IFERROR(VLOOKUP(R9,CHOOSE({1,2},C4:C32,B4:B32),2,FALSE),"")</f>
        <v>jic</v>
      </c>
      <c r="R9">
        <f>IFERROR(INDEX($C$2:$C$100,MATCH(0,INDEX(COUNTIF($R$6:R8,$C$2:$C$100),),0)),"")</f>
        <v>2197</v>
      </c>
      <c r="S9" s="49">
        <f>IFERROR(VLOOKUP(R10,CHOOSE({1,2},C5:C32,A4:A32),2,FALSE),"")</f>
        <v>43682</v>
      </c>
      <c r="T9" s="48" t="str">
        <f t="shared" si="0"/>
        <v>jic-2197-05/08/2019</v>
      </c>
      <c r="U9" s="47"/>
      <c r="V9" s="47"/>
    </row>
    <row r="10" spans="1:41" x14ac:dyDescent="0.3">
      <c r="A10" s="32">
        <v>43682</v>
      </c>
      <c r="B10" s="14" t="s">
        <v>59</v>
      </c>
      <c r="C10" s="14">
        <v>2196</v>
      </c>
      <c r="D10" s="9">
        <v>123456789012354</v>
      </c>
      <c r="E10" s="9" t="s">
        <v>60</v>
      </c>
      <c r="F10" s="9" t="s">
        <v>60</v>
      </c>
      <c r="G10" s="9" t="s">
        <v>62</v>
      </c>
      <c r="H10" s="9">
        <v>34576</v>
      </c>
      <c r="I10" s="9" t="s">
        <v>71</v>
      </c>
      <c r="J10" s="9">
        <v>1314</v>
      </c>
      <c r="K10" s="9" t="s">
        <v>50</v>
      </c>
      <c r="L10" s="9">
        <v>100</v>
      </c>
      <c r="M10" s="9">
        <v>2</v>
      </c>
      <c r="N10" s="9">
        <v>98</v>
      </c>
      <c r="Q10" t="str">
        <f>IFERROR(VLOOKUP(R10,CHOOSE({1,2},C5:C33,B5:B33),2,FALSE),"")</f>
        <v>bostfin</v>
      </c>
      <c r="R10">
        <f>IFERROR(INDEX($C$2:$C$100,MATCH(0,INDEX(COUNTIF($R$6:R9,$C$2:$C$100),),0)),"")</f>
        <v>2198</v>
      </c>
      <c r="S10" s="49">
        <f>IFERROR(VLOOKUP(R11,CHOOSE({1,2},C6:C33,A5:A33),2,FALSE),"")</f>
        <v>43683</v>
      </c>
      <c r="T10" s="48" t="str">
        <f t="shared" si="0"/>
        <v>bostfin-2198-06/08/2019</v>
      </c>
      <c r="U10" s="47"/>
      <c r="V10" s="47"/>
    </row>
    <row r="11" spans="1:41" x14ac:dyDescent="0.3">
      <c r="A11" s="32">
        <v>43682</v>
      </c>
      <c r="B11" s="14" t="s">
        <v>59</v>
      </c>
      <c r="C11" s="14">
        <v>2196</v>
      </c>
      <c r="D11" s="9">
        <v>123456789012354</v>
      </c>
      <c r="E11" s="9" t="s">
        <v>60</v>
      </c>
      <c r="F11" s="9" t="s">
        <v>60</v>
      </c>
      <c r="G11" s="9" t="s">
        <v>63</v>
      </c>
      <c r="H11" s="9">
        <v>456677</v>
      </c>
      <c r="I11" s="9" t="s">
        <v>71</v>
      </c>
      <c r="J11" s="9">
        <v>1314</v>
      </c>
      <c r="K11" s="9" t="s">
        <v>50</v>
      </c>
      <c r="L11" s="9">
        <v>10</v>
      </c>
      <c r="M11" s="9">
        <v>2</v>
      </c>
      <c r="N11" s="9">
        <v>8</v>
      </c>
      <c r="Q11" t="str">
        <f>IFERROR(VLOOKUP(R11,CHOOSE({1,2},C6:C34,B6:B34),2,FALSE),"")</f>
        <v>jic</v>
      </c>
      <c r="R11">
        <f>IFERROR(INDEX($C$2:$C$100,MATCH(0,INDEX(COUNTIF($R$6:R10,$C$2:$C$100),),0)),"")</f>
        <v>2199</v>
      </c>
      <c r="S11" s="49">
        <f>IFERROR(VLOOKUP(R12,CHOOSE({1,2},C7:C1000,A6:A1000),2,FALSE),"")</f>
        <v>43683</v>
      </c>
      <c r="T11" s="48" t="str">
        <f>Q11 &amp; "-" &amp;R11 &amp;"-"&amp;TEXT(S11, "DD/MM/YYYY")</f>
        <v>jic-2199-06/08/2019</v>
      </c>
      <c r="U11" s="47"/>
      <c r="V11" s="47"/>
    </row>
    <row r="12" spans="1:41" x14ac:dyDescent="0.3">
      <c r="A12" s="32">
        <v>43682</v>
      </c>
      <c r="B12" s="14" t="s">
        <v>59</v>
      </c>
      <c r="C12" s="14">
        <v>2196</v>
      </c>
      <c r="D12" s="9">
        <v>123456789012354</v>
      </c>
      <c r="E12" s="9" t="s">
        <v>60</v>
      </c>
      <c r="F12" s="9" t="s">
        <v>60</v>
      </c>
      <c r="G12" s="9" t="s">
        <v>65</v>
      </c>
      <c r="H12" s="9">
        <v>12345</v>
      </c>
      <c r="I12" s="9" t="s">
        <v>70</v>
      </c>
      <c r="J12" s="9">
        <v>1314</v>
      </c>
      <c r="K12" s="9" t="s">
        <v>50</v>
      </c>
      <c r="L12" s="9">
        <v>10</v>
      </c>
      <c r="M12" s="9">
        <v>0</v>
      </c>
      <c r="N12" s="9">
        <v>10</v>
      </c>
      <c r="Q12" t="str">
        <f>IFERROR(VLOOKUP(R12,CHOOSE({1,2},C7:C35,B7:B35),2,FALSE),"")</f>
        <v>aabc</v>
      </c>
      <c r="R12">
        <f>IFERROR(INDEX($C$2:$C$100,MATCH(0,INDEX(COUNTIF($R$6:R11,$C$2:$C$100),),0)),"")</f>
        <v>2100</v>
      </c>
      <c r="S12" s="49">
        <f>IFERROR(VLOOKUP(R13,CHOOSE({1,2},C8:C1001,A7:A1001),2,FALSE),"")</f>
        <v>43683</v>
      </c>
      <c r="T12" s="48" t="str">
        <f t="shared" ref="T12:T17" si="1">Q12 &amp; "-" &amp;R12 &amp;"-"&amp;TEXT(S12, "DD/MM/YYYY")</f>
        <v>aabc-2100-06/08/2019</v>
      </c>
      <c r="U12" s="47"/>
      <c r="V12" s="47"/>
    </row>
    <row r="13" spans="1:41" x14ac:dyDescent="0.3">
      <c r="A13" s="32">
        <v>43682</v>
      </c>
      <c r="B13" s="14" t="s">
        <v>59</v>
      </c>
      <c r="C13" s="14">
        <v>2196</v>
      </c>
      <c r="D13" s="9">
        <v>123456789012354</v>
      </c>
      <c r="E13" s="9" t="s">
        <v>60</v>
      </c>
      <c r="F13" s="9" t="s">
        <v>60</v>
      </c>
      <c r="G13" s="9" t="s">
        <v>62</v>
      </c>
      <c r="H13" s="9">
        <v>34576</v>
      </c>
      <c r="I13" s="9" t="s">
        <v>71</v>
      </c>
      <c r="J13" s="9">
        <v>1314</v>
      </c>
      <c r="K13" s="9" t="s">
        <v>50</v>
      </c>
      <c r="L13" s="9">
        <v>100</v>
      </c>
      <c r="M13" s="9">
        <v>0</v>
      </c>
      <c r="N13" s="9">
        <v>100</v>
      </c>
      <c r="Q13" t="str">
        <f>IFERROR(VLOOKUP(R13,CHOOSE({1,2},C8:C1000,B8:B1000),2,FALSE),"")</f>
        <v>bostfin</v>
      </c>
      <c r="R13">
        <f>IFERROR(INDEX($C$2:$C$100,MATCH(0,INDEX(COUNTIF($R$6:R12,$C$2:$C$100),),0)),"")</f>
        <v>2101</v>
      </c>
      <c r="S13" s="49">
        <f>IFERROR(VLOOKUP(R14,CHOOSE({1,2},C9:C1002,A8:A1002),2,FALSE),"")</f>
        <v>43683</v>
      </c>
      <c r="T13" s="48" t="str">
        <f t="shared" si="1"/>
        <v>bostfin-2101-06/08/2019</v>
      </c>
      <c r="U13" s="47"/>
      <c r="V13" s="47"/>
    </row>
    <row r="14" spans="1:41" x14ac:dyDescent="0.3">
      <c r="A14" s="32">
        <v>43682</v>
      </c>
      <c r="B14" s="14" t="s">
        <v>56</v>
      </c>
      <c r="C14" s="14">
        <v>2197</v>
      </c>
      <c r="D14" s="9">
        <v>122312312312334</v>
      </c>
      <c r="E14" s="9" t="s">
        <v>57</v>
      </c>
      <c r="F14" s="9" t="s">
        <v>58</v>
      </c>
      <c r="G14" s="9" t="s">
        <v>63</v>
      </c>
      <c r="H14" s="9">
        <v>456677</v>
      </c>
      <c r="I14" s="9" t="s">
        <v>70</v>
      </c>
      <c r="J14" s="9">
        <v>1314</v>
      </c>
      <c r="K14" s="9" t="s">
        <v>50</v>
      </c>
      <c r="L14" s="9">
        <v>10</v>
      </c>
      <c r="M14" s="9">
        <v>2</v>
      </c>
      <c r="N14" s="9">
        <v>8</v>
      </c>
      <c r="Q14" t="str">
        <f>IFERROR(VLOOKUP(R14,CHOOSE({1,2},C9:C1001,B9:B1001),2,FALSE),"")</f>
        <v>bostfin</v>
      </c>
      <c r="R14">
        <f>IFERROR(INDEX($C$2:$C$100,MATCH(0,INDEX(COUNTIF($R$6:R13,$C$2:$C$100),),0)),"")</f>
        <v>3006</v>
      </c>
      <c r="S14" s="49">
        <f>IFERROR(VLOOKUP(R15,CHOOSE({1,2},C10:C1003,A9:A1003),2,FALSE),"")</f>
        <v>43683</v>
      </c>
      <c r="T14" s="48" t="str">
        <f t="shared" si="1"/>
        <v>bostfin-3006-06/08/2019</v>
      </c>
      <c r="U14" s="47"/>
      <c r="V14" s="47"/>
    </row>
    <row r="15" spans="1:41" x14ac:dyDescent="0.3">
      <c r="A15" s="32">
        <v>43682</v>
      </c>
      <c r="B15" s="14" t="s">
        <v>56</v>
      </c>
      <c r="C15" s="14">
        <v>2197</v>
      </c>
      <c r="D15" s="9">
        <v>122312312312334</v>
      </c>
      <c r="E15" s="9" t="s">
        <v>57</v>
      </c>
      <c r="F15" s="9" t="s">
        <v>58</v>
      </c>
      <c r="G15" s="9" t="s">
        <v>63</v>
      </c>
      <c r="H15" s="9">
        <v>456677</v>
      </c>
      <c r="I15" s="9" t="s">
        <v>71</v>
      </c>
      <c r="J15" s="9">
        <v>1314</v>
      </c>
      <c r="K15" s="9" t="s">
        <v>50</v>
      </c>
      <c r="L15" s="9">
        <v>10</v>
      </c>
      <c r="M15" s="9">
        <v>2</v>
      </c>
      <c r="N15" s="9">
        <v>8</v>
      </c>
      <c r="Q15" t="str">
        <f>IFERROR(VLOOKUP(R15,CHOOSE({1,2},C10:C1002,B10:B1002),2,FALSE),"")</f>
        <v>bostfin</v>
      </c>
      <c r="R15">
        <f>IFERROR(INDEX($C$2:$C$100,MATCH(0,INDEX(COUNTIF($R$6:R14,$C$2:$C$100),),0)),"")</f>
        <v>3007</v>
      </c>
      <c r="S15" s="49">
        <f>IFERROR(VLOOKUP(R16,CHOOSE({1,2},C11:C1004,A10:A1004),2,FALSE),"")</f>
        <v>43683</v>
      </c>
      <c r="T15" s="48" t="str">
        <f t="shared" si="1"/>
        <v>bostfin-3007-06/08/2019</v>
      </c>
      <c r="U15" s="47"/>
      <c r="V15" s="47"/>
    </row>
    <row r="16" spans="1:41" x14ac:dyDescent="0.3">
      <c r="A16" s="32">
        <v>43682</v>
      </c>
      <c r="B16" s="14" t="s">
        <v>56</v>
      </c>
      <c r="C16" s="14">
        <v>2197</v>
      </c>
      <c r="D16" s="9">
        <v>122312312312334</v>
      </c>
      <c r="E16" s="9" t="s">
        <v>57</v>
      </c>
      <c r="F16" s="9" t="s">
        <v>58</v>
      </c>
      <c r="G16" s="9" t="s">
        <v>62</v>
      </c>
      <c r="H16" s="9">
        <v>34576</v>
      </c>
      <c r="I16" s="9" t="s">
        <v>71</v>
      </c>
      <c r="J16" s="9">
        <v>1314</v>
      </c>
      <c r="K16" s="9" t="s">
        <v>50</v>
      </c>
      <c r="L16" s="9">
        <v>100</v>
      </c>
      <c r="M16" s="9">
        <v>2</v>
      </c>
      <c r="N16" s="9">
        <v>98</v>
      </c>
      <c r="Q16" t="str">
        <f>IFERROR(VLOOKUP(R16,CHOOSE({1,2},C11:C1003,B11:B1003),2,FALSE),"")</f>
        <v>jic</v>
      </c>
      <c r="R16">
        <f>IFERROR(INDEX($C$2:$C$100,MATCH(0,INDEX(COUNTIF($R$6:R15,$C$2:$C$100),),0)),"")</f>
        <v>1000</v>
      </c>
      <c r="S16" s="49">
        <f>IFERROR(VLOOKUP(R17,CHOOSE({1,2},C12:C1005,A11:A1005),2,FALSE),"")</f>
        <v>43683</v>
      </c>
      <c r="T16" s="48" t="str">
        <f t="shared" si="1"/>
        <v>jic-1000-06/08/2019</v>
      </c>
      <c r="U16" s="47"/>
      <c r="V16" s="47"/>
    </row>
    <row r="17" spans="1:22" x14ac:dyDescent="0.3">
      <c r="A17" s="32">
        <v>43682</v>
      </c>
      <c r="B17" s="14" t="s">
        <v>56</v>
      </c>
      <c r="C17" s="14">
        <v>2197</v>
      </c>
      <c r="D17" s="9">
        <v>122312312312334</v>
      </c>
      <c r="E17" s="9" t="s">
        <v>57</v>
      </c>
      <c r="F17" s="9" t="s">
        <v>58</v>
      </c>
      <c r="G17" s="9" t="s">
        <v>63</v>
      </c>
      <c r="H17" s="9">
        <v>456677</v>
      </c>
      <c r="I17" s="9" t="s">
        <v>71</v>
      </c>
      <c r="J17" s="9">
        <v>1314</v>
      </c>
      <c r="K17" s="9" t="s">
        <v>50</v>
      </c>
      <c r="L17" s="9">
        <v>10</v>
      </c>
      <c r="M17" s="9">
        <v>2</v>
      </c>
      <c r="N17" s="9">
        <v>8</v>
      </c>
      <c r="Q17" t="str">
        <f>IFERROR(VLOOKUP(R17,CHOOSE({1,2},C12:C1004,B12:B1004),2,FALSE),"")</f>
        <v>bostfin</v>
      </c>
      <c r="R17">
        <f>IFERROR(INDEX($C$2:$C$100,MATCH(0,INDEX(COUNTIF($R$6:R16,$C$2:$C$100),),0)),"")</f>
        <v>1005</v>
      </c>
      <c r="S17" s="49">
        <f>IFERROR(VLOOKUP(R18,CHOOSE({1,2},C13:C1006,A12:A1006),2,FALSE),"")</f>
        <v>43683</v>
      </c>
      <c r="T17" s="48" t="str">
        <f t="shared" si="1"/>
        <v>bostfin-1005-06/08/2019</v>
      </c>
      <c r="U17" s="47"/>
      <c r="V17" s="47"/>
    </row>
    <row r="18" spans="1:22" x14ac:dyDescent="0.3">
      <c r="A18" s="32">
        <v>43682</v>
      </c>
      <c r="B18" s="14" t="s">
        <v>56</v>
      </c>
      <c r="C18" s="14">
        <v>2197</v>
      </c>
      <c r="D18" s="9">
        <v>122312312312334</v>
      </c>
      <c r="E18" s="9" t="s">
        <v>57</v>
      </c>
      <c r="F18" s="9" t="s">
        <v>58</v>
      </c>
      <c r="G18" s="9" t="s">
        <v>65</v>
      </c>
      <c r="H18" s="9">
        <v>12345</v>
      </c>
      <c r="I18" s="9" t="s">
        <v>70</v>
      </c>
      <c r="J18" s="9">
        <v>1314</v>
      </c>
      <c r="K18" s="9" t="s">
        <v>50</v>
      </c>
      <c r="L18" s="9">
        <v>10</v>
      </c>
      <c r="M18" s="9">
        <v>0</v>
      </c>
      <c r="N18" s="9">
        <v>10</v>
      </c>
      <c r="S18" s="45" t="str">
        <f>IFERROR(INDEX($A$2:$A$19,MATCH(0,INDEX(COUNTIF($S$6:S17,$A$2:$A$19),),0)),"")</f>
        <v/>
      </c>
      <c r="T18" s="48"/>
      <c r="U18" s="47"/>
      <c r="V18" s="47"/>
    </row>
    <row r="19" spans="1:22" x14ac:dyDescent="0.3">
      <c r="A19" s="32">
        <v>43682</v>
      </c>
      <c r="B19" s="14" t="s">
        <v>56</v>
      </c>
      <c r="C19" s="14">
        <v>2197</v>
      </c>
      <c r="D19" s="9">
        <v>122312312312334</v>
      </c>
      <c r="E19" s="9" t="s">
        <v>57</v>
      </c>
      <c r="F19" s="9" t="s">
        <v>58</v>
      </c>
      <c r="G19" s="9" t="s">
        <v>62</v>
      </c>
      <c r="H19" s="9">
        <v>34576</v>
      </c>
      <c r="I19" s="9" t="s">
        <v>71</v>
      </c>
      <c r="J19" s="9">
        <v>1314</v>
      </c>
      <c r="K19" s="9" t="s">
        <v>50</v>
      </c>
      <c r="L19" s="9">
        <v>100</v>
      </c>
      <c r="M19" s="9">
        <v>0</v>
      </c>
      <c r="N19" s="9">
        <v>100</v>
      </c>
      <c r="S19" s="45" t="str">
        <f>IFERROR(INDEX($A$2:$A$19,MATCH(0,INDEX(COUNTIF($S$6:S18,$A$2:$A$19),),0)),"")</f>
        <v/>
      </c>
      <c r="T19" s="48"/>
      <c r="U19" s="47"/>
      <c r="V19" s="47"/>
    </row>
    <row r="20" spans="1:22" x14ac:dyDescent="0.3">
      <c r="A20" s="32">
        <v>43683</v>
      </c>
      <c r="B20" s="14" t="s">
        <v>59</v>
      </c>
      <c r="C20" s="14">
        <v>2198</v>
      </c>
      <c r="D20" s="9">
        <v>123456789012354</v>
      </c>
      <c r="E20" s="9" t="s">
        <v>60</v>
      </c>
      <c r="F20" s="9" t="s">
        <v>60</v>
      </c>
      <c r="G20" s="9" t="s">
        <v>63</v>
      </c>
      <c r="H20" s="9">
        <v>456677</v>
      </c>
      <c r="I20" s="9" t="s">
        <v>70</v>
      </c>
      <c r="J20" s="9">
        <v>1314</v>
      </c>
      <c r="K20" s="9" t="s">
        <v>50</v>
      </c>
      <c r="L20" s="9">
        <v>10</v>
      </c>
      <c r="M20" s="9">
        <v>2</v>
      </c>
      <c r="N20" s="9">
        <v>8</v>
      </c>
      <c r="S20" s="45" t="str">
        <f>IFERROR(INDEX($A$2:$A$19,MATCH(0,INDEX(COUNTIF($S$6:S19,$A$2:$A$19),),0)),"")</f>
        <v/>
      </c>
      <c r="T20" s="48"/>
      <c r="U20" s="47"/>
      <c r="V20" s="47"/>
    </row>
    <row r="21" spans="1:22" x14ac:dyDescent="0.3">
      <c r="A21" s="32">
        <v>43683</v>
      </c>
      <c r="B21" s="14" t="s">
        <v>59</v>
      </c>
      <c r="C21" s="14">
        <v>2198</v>
      </c>
      <c r="D21" s="9">
        <v>123456789012354</v>
      </c>
      <c r="E21" s="9" t="s">
        <v>60</v>
      </c>
      <c r="F21" s="9" t="s">
        <v>60</v>
      </c>
      <c r="G21" s="9" t="s">
        <v>63</v>
      </c>
      <c r="H21" s="9">
        <v>456677</v>
      </c>
      <c r="I21" s="9" t="s">
        <v>71</v>
      </c>
      <c r="J21" s="9">
        <v>1314</v>
      </c>
      <c r="K21" s="9" t="s">
        <v>50</v>
      </c>
      <c r="L21" s="9">
        <v>10</v>
      </c>
      <c r="M21" s="9">
        <v>2</v>
      </c>
      <c r="N21" s="9">
        <v>8</v>
      </c>
      <c r="S21" s="44" t="str">
        <f>IFERROR(INDEX($A$2:$A$19,MATCH(0,INDEX(COUNTIF($S$6:S20,$A$2:$A$19),),0)),"")</f>
        <v/>
      </c>
      <c r="T21" s="48"/>
      <c r="U21" s="47"/>
      <c r="V21" s="47"/>
    </row>
    <row r="22" spans="1:22" x14ac:dyDescent="0.3">
      <c r="A22" s="32">
        <v>43683</v>
      </c>
      <c r="B22" s="14" t="s">
        <v>59</v>
      </c>
      <c r="C22" s="14">
        <v>2198</v>
      </c>
      <c r="D22" s="9">
        <v>123456789012354</v>
      </c>
      <c r="E22" s="9" t="s">
        <v>60</v>
      </c>
      <c r="F22" s="9" t="s">
        <v>60</v>
      </c>
      <c r="G22" s="9" t="s">
        <v>62</v>
      </c>
      <c r="H22" s="9">
        <v>34576</v>
      </c>
      <c r="I22" s="9" t="s">
        <v>71</v>
      </c>
      <c r="J22" s="9">
        <v>1314</v>
      </c>
      <c r="K22" s="9" t="s">
        <v>50</v>
      </c>
      <c r="L22" s="9">
        <v>100</v>
      </c>
      <c r="M22" s="9">
        <v>2</v>
      </c>
      <c r="N22" s="9">
        <v>98</v>
      </c>
      <c r="S22" s="44" t="str">
        <f>IFERROR(INDEX($A$2:$A$19,MATCH(0,INDEX(COUNTIF($S$6:S21,$A$2:$A$19),),0)),"")</f>
        <v/>
      </c>
      <c r="T22" s="48"/>
      <c r="U22" s="47"/>
      <c r="V22" s="47"/>
    </row>
    <row r="23" spans="1:22" x14ac:dyDescent="0.3">
      <c r="A23" s="32">
        <v>43683</v>
      </c>
      <c r="B23" s="14" t="s">
        <v>59</v>
      </c>
      <c r="C23" s="14">
        <v>2198</v>
      </c>
      <c r="D23" s="9">
        <v>123456789012354</v>
      </c>
      <c r="E23" s="9" t="s">
        <v>60</v>
      </c>
      <c r="F23" s="9" t="s">
        <v>60</v>
      </c>
      <c r="G23" s="9" t="s">
        <v>63</v>
      </c>
      <c r="H23" s="9">
        <v>456677</v>
      </c>
      <c r="I23" s="9" t="s">
        <v>71</v>
      </c>
      <c r="J23" s="9">
        <v>1314</v>
      </c>
      <c r="K23" s="9" t="s">
        <v>50</v>
      </c>
      <c r="L23" s="9">
        <v>10</v>
      </c>
      <c r="M23" s="9">
        <v>2</v>
      </c>
      <c r="N23" s="9">
        <v>8</v>
      </c>
      <c r="S23" s="44" t="str">
        <f>IFERROR(INDEX($A$2:$A$19,MATCH(0,INDEX(COUNTIF($S$6:S22,$A$2:$A$19),),0)),"")</f>
        <v/>
      </c>
      <c r="T23" s="48"/>
      <c r="U23" s="47"/>
      <c r="V23" s="47"/>
    </row>
    <row r="24" spans="1:22" x14ac:dyDescent="0.3">
      <c r="A24" s="32">
        <v>43683</v>
      </c>
      <c r="B24" s="14" t="s">
        <v>59</v>
      </c>
      <c r="C24" s="14">
        <v>2198</v>
      </c>
      <c r="D24" s="9">
        <v>123456789012354</v>
      </c>
      <c r="E24" s="9" t="s">
        <v>60</v>
      </c>
      <c r="F24" s="9" t="s">
        <v>60</v>
      </c>
      <c r="G24" s="9" t="s">
        <v>65</v>
      </c>
      <c r="H24" s="9">
        <v>12345</v>
      </c>
      <c r="I24" s="9" t="s">
        <v>70</v>
      </c>
      <c r="J24" s="9">
        <v>1314</v>
      </c>
      <c r="K24" s="9" t="s">
        <v>50</v>
      </c>
      <c r="L24" s="9">
        <v>10</v>
      </c>
      <c r="M24" s="9">
        <v>0</v>
      </c>
      <c r="N24" s="9">
        <v>10</v>
      </c>
      <c r="S24" s="44" t="str">
        <f>IFERROR(INDEX($A$2:$A$19,MATCH(0,INDEX(COUNTIF($S$6:S23,$A$2:$A$19),),0)),"")</f>
        <v/>
      </c>
      <c r="T24" s="48"/>
      <c r="U24" s="47"/>
      <c r="V24" s="47"/>
    </row>
    <row r="25" spans="1:22" x14ac:dyDescent="0.3">
      <c r="A25" s="32">
        <v>43683</v>
      </c>
      <c r="B25" s="14" t="s">
        <v>59</v>
      </c>
      <c r="C25" s="14">
        <v>2198</v>
      </c>
      <c r="D25" s="9">
        <v>123456789012354</v>
      </c>
      <c r="E25" s="9" t="s">
        <v>60</v>
      </c>
      <c r="F25" s="9" t="s">
        <v>60</v>
      </c>
      <c r="G25" s="9" t="s">
        <v>62</v>
      </c>
      <c r="H25" s="9">
        <v>34576</v>
      </c>
      <c r="I25" s="9" t="s">
        <v>71</v>
      </c>
      <c r="J25" s="9">
        <v>1314</v>
      </c>
      <c r="K25" s="9" t="s">
        <v>50</v>
      </c>
      <c r="L25" s="9">
        <v>100</v>
      </c>
      <c r="M25" s="9">
        <v>0</v>
      </c>
      <c r="N25" s="9">
        <v>100</v>
      </c>
      <c r="S25" s="44" t="str">
        <f>IFERROR(INDEX($A$2:$A$19,MATCH(0,INDEX(COUNTIF($S$6:S24,$A$2:$A$19),),0)),"")</f>
        <v/>
      </c>
      <c r="T25" s="48"/>
      <c r="U25" s="47"/>
      <c r="V25" s="47"/>
    </row>
    <row r="26" spans="1:22" x14ac:dyDescent="0.3">
      <c r="A26" s="46">
        <v>43683</v>
      </c>
      <c r="B26" s="14" t="s">
        <v>56</v>
      </c>
      <c r="C26" s="14">
        <v>2199</v>
      </c>
      <c r="D26" s="9">
        <v>122312312312334</v>
      </c>
      <c r="E26" s="9" t="s">
        <v>57</v>
      </c>
      <c r="F26" s="9" t="s">
        <v>58</v>
      </c>
      <c r="G26" s="9" t="s">
        <v>63</v>
      </c>
      <c r="H26" s="9">
        <v>456677</v>
      </c>
      <c r="I26" s="9" t="s">
        <v>70</v>
      </c>
      <c r="J26" s="9">
        <v>1314</v>
      </c>
      <c r="K26" s="9" t="s">
        <v>50</v>
      </c>
      <c r="L26" s="9">
        <v>10</v>
      </c>
      <c r="M26" s="9">
        <v>2</v>
      </c>
      <c r="N26" s="9">
        <v>8</v>
      </c>
      <c r="S26" s="44" t="str">
        <f>IFERROR(INDEX($A$2:$A$19,MATCH(0,INDEX(COUNTIF($S$6:S25,$A$2:$A$19),),0)),"")</f>
        <v/>
      </c>
      <c r="T26" s="48"/>
      <c r="U26" s="47"/>
      <c r="V26" s="47"/>
    </row>
    <row r="27" spans="1:22" x14ac:dyDescent="0.3">
      <c r="A27" s="32">
        <v>43683</v>
      </c>
      <c r="B27" s="14" t="s">
        <v>56</v>
      </c>
      <c r="C27" s="14">
        <v>2199</v>
      </c>
      <c r="D27" s="9">
        <v>122312312312334</v>
      </c>
      <c r="E27" s="9" t="s">
        <v>57</v>
      </c>
      <c r="F27" s="9" t="s">
        <v>58</v>
      </c>
      <c r="G27" s="9" t="s">
        <v>63</v>
      </c>
      <c r="H27" s="9">
        <v>456677</v>
      </c>
      <c r="I27" s="9" t="s">
        <v>71</v>
      </c>
      <c r="J27" s="9">
        <v>1314</v>
      </c>
      <c r="K27" s="9" t="s">
        <v>50</v>
      </c>
      <c r="L27" s="9">
        <v>10</v>
      </c>
      <c r="M27" s="9">
        <v>2</v>
      </c>
      <c r="N27" s="9">
        <v>8</v>
      </c>
      <c r="S27" s="44" t="str">
        <f>IFERROR(INDEX($A$2:$A$19,MATCH(0,INDEX(COUNTIF($S$6:S26,$A$2:$A$19),),0)),"")</f>
        <v/>
      </c>
      <c r="T27" s="48"/>
      <c r="U27" s="47"/>
      <c r="V27" s="47"/>
    </row>
    <row r="28" spans="1:22" x14ac:dyDescent="0.3">
      <c r="A28" s="32">
        <v>43683</v>
      </c>
      <c r="B28" s="14" t="s">
        <v>56</v>
      </c>
      <c r="C28" s="14">
        <v>2199</v>
      </c>
      <c r="D28" s="9">
        <v>122312312312334</v>
      </c>
      <c r="E28" s="9" t="s">
        <v>57</v>
      </c>
      <c r="F28" s="9" t="s">
        <v>58</v>
      </c>
      <c r="G28" s="9" t="s">
        <v>62</v>
      </c>
      <c r="H28" s="9">
        <v>34576</v>
      </c>
      <c r="I28" s="9" t="s">
        <v>71</v>
      </c>
      <c r="J28" s="9">
        <v>1314</v>
      </c>
      <c r="K28" s="9" t="s">
        <v>50</v>
      </c>
      <c r="L28" s="9">
        <v>100</v>
      </c>
      <c r="M28" s="9">
        <v>2</v>
      </c>
      <c r="N28" s="9">
        <v>98</v>
      </c>
      <c r="Q28" t="str">
        <f>IFERROR(INDEX($B$2:$B$10000,MATCH(0,INDEX(COUNTIF($Q$6:Q27,$B$2:$B$19),),0)),"")</f>
        <v/>
      </c>
      <c r="S28" s="44" t="str">
        <f>IFERROR(INDEX($A$2:$A$19,MATCH(0,INDEX(COUNTIF($S$6:S27,$A$2:$A$19),),0)),"")</f>
        <v/>
      </c>
      <c r="T28" s="48"/>
      <c r="U28" s="47"/>
      <c r="V28" s="47"/>
    </row>
    <row r="29" spans="1:22" x14ac:dyDescent="0.3">
      <c r="A29" s="32">
        <v>43683</v>
      </c>
      <c r="B29" s="14" t="s">
        <v>56</v>
      </c>
      <c r="C29" s="14">
        <v>2199</v>
      </c>
      <c r="D29" s="9">
        <v>122312312312334</v>
      </c>
      <c r="E29" s="9" t="s">
        <v>57</v>
      </c>
      <c r="F29" s="9" t="s">
        <v>58</v>
      </c>
      <c r="G29" s="9" t="s">
        <v>63</v>
      </c>
      <c r="H29" s="9">
        <v>456677</v>
      </c>
      <c r="I29" s="9" t="s">
        <v>71</v>
      </c>
      <c r="J29" s="9">
        <v>1314</v>
      </c>
      <c r="K29" s="9" t="s">
        <v>50</v>
      </c>
      <c r="L29" s="9">
        <v>10</v>
      </c>
      <c r="M29" s="9">
        <v>2</v>
      </c>
      <c r="N29" s="9">
        <v>8</v>
      </c>
      <c r="Q29" t="str">
        <f>IFERROR(INDEX($B$2:$B$10000,MATCH(0,INDEX(COUNTIF($Q$6:Q28,$B$2:$B$19),),0)),"")</f>
        <v/>
      </c>
      <c r="S29" s="44" t="str">
        <f>IFERROR(INDEX($A$2:$A$19,MATCH(0,INDEX(COUNTIF($S$6:S28,$A$2:$A$19),),0)),"")</f>
        <v/>
      </c>
      <c r="T29" s="48"/>
      <c r="U29" s="47"/>
      <c r="V29" s="47"/>
    </row>
    <row r="30" spans="1:22" x14ac:dyDescent="0.3">
      <c r="A30" s="32">
        <v>43683</v>
      </c>
      <c r="B30" s="14" t="s">
        <v>56</v>
      </c>
      <c r="C30" s="14">
        <v>2199</v>
      </c>
      <c r="D30" s="9">
        <v>122312312312334</v>
      </c>
      <c r="E30" s="9" t="s">
        <v>57</v>
      </c>
      <c r="F30" s="9" t="s">
        <v>58</v>
      </c>
      <c r="G30" s="9" t="s">
        <v>65</v>
      </c>
      <c r="H30" s="9">
        <v>12345</v>
      </c>
      <c r="I30" s="9" t="s">
        <v>70</v>
      </c>
      <c r="J30" s="9">
        <v>1314</v>
      </c>
      <c r="K30" s="9" t="s">
        <v>50</v>
      </c>
      <c r="L30" s="9">
        <v>10</v>
      </c>
      <c r="M30" s="9">
        <v>0</v>
      </c>
      <c r="N30" s="9">
        <v>10</v>
      </c>
      <c r="Q30" t="str">
        <f>IFERROR(INDEX($B$2:$B$10000,MATCH(0,INDEX(COUNTIF($Q$6:Q29,$B$2:$B$19),),0)),"")</f>
        <v/>
      </c>
      <c r="S30" s="44" t="str">
        <f>IFERROR(INDEX($A$2:$A$19,MATCH(0,INDEX(COUNTIF($S$6:S29,$A$2:$A$19),),0)),"")</f>
        <v/>
      </c>
      <c r="T30" s="48"/>
      <c r="U30" s="47"/>
      <c r="V30" s="47"/>
    </row>
    <row r="31" spans="1:22" x14ac:dyDescent="0.3">
      <c r="A31" s="32">
        <v>43683</v>
      </c>
      <c r="B31" s="14" t="s">
        <v>56</v>
      </c>
      <c r="C31" s="14">
        <v>2199</v>
      </c>
      <c r="D31" s="9">
        <v>122312312312334</v>
      </c>
      <c r="E31" s="9" t="s">
        <v>57</v>
      </c>
      <c r="F31" s="9" t="s">
        <v>58</v>
      </c>
      <c r="G31" s="9" t="s">
        <v>62</v>
      </c>
      <c r="H31" s="9">
        <v>34576</v>
      </c>
      <c r="I31" s="9" t="s">
        <v>71</v>
      </c>
      <c r="J31" s="9">
        <v>1314</v>
      </c>
      <c r="K31" s="9" t="s">
        <v>50</v>
      </c>
      <c r="L31" s="9">
        <v>100</v>
      </c>
      <c r="M31" s="9">
        <v>0</v>
      </c>
      <c r="N31" s="9">
        <v>100</v>
      </c>
      <c r="Q31" t="str">
        <f>IFERROR(INDEX($B$2:$B$10000,MATCH(0,INDEX(COUNTIF($Q$6:Q30,$B$2:$B$19),),0)),"")</f>
        <v/>
      </c>
      <c r="S31" s="44" t="str">
        <f>IFERROR(INDEX($A$2:$A$19,MATCH(0,INDEX(COUNTIF($S$6:S30,$A$2:$A$19),),0)),"")</f>
        <v/>
      </c>
      <c r="T31" s="47"/>
      <c r="U31" s="47"/>
      <c r="V31" s="47"/>
    </row>
    <row r="32" spans="1:22" x14ac:dyDescent="0.3">
      <c r="A32" s="32">
        <v>43683</v>
      </c>
      <c r="B32" s="14" t="s">
        <v>67</v>
      </c>
      <c r="C32" s="14">
        <v>2100</v>
      </c>
      <c r="D32" s="9">
        <v>123456789123456</v>
      </c>
      <c r="E32" s="9" t="s">
        <v>68</v>
      </c>
      <c r="F32" s="9" t="s">
        <v>69</v>
      </c>
      <c r="G32" s="9" t="s">
        <v>64</v>
      </c>
      <c r="H32" s="9">
        <v>456677</v>
      </c>
      <c r="I32" s="9" t="s">
        <v>70</v>
      </c>
      <c r="J32" s="9">
        <v>1314</v>
      </c>
      <c r="K32" s="9" t="s">
        <v>50</v>
      </c>
      <c r="L32" s="9">
        <v>10</v>
      </c>
      <c r="M32" s="9">
        <v>2</v>
      </c>
      <c r="N32" s="9">
        <v>8</v>
      </c>
      <c r="Q32" t="str">
        <f>IFERROR(INDEX($B$2:$B$10000,MATCH(0,INDEX(COUNTIF($Q$6:Q31,$B$2:$B$19),),0)),"")</f>
        <v/>
      </c>
      <c r="S32" s="44" t="str">
        <f>IFERROR(INDEX($A$2:$A$19,MATCH(0,INDEX(COUNTIF($S$6:S31,$A$2:$A$19),),0)),"")</f>
        <v/>
      </c>
      <c r="T32" s="47"/>
      <c r="U32" s="47"/>
      <c r="V32" s="47"/>
    </row>
    <row r="33" spans="1:22" x14ac:dyDescent="0.3">
      <c r="A33" s="32">
        <v>43683</v>
      </c>
      <c r="B33" s="14" t="s">
        <v>67</v>
      </c>
      <c r="C33" s="14">
        <v>2100</v>
      </c>
      <c r="D33" s="9">
        <v>123456789123456</v>
      </c>
      <c r="E33" s="9" t="s">
        <v>68</v>
      </c>
      <c r="F33" s="9" t="s">
        <v>69</v>
      </c>
      <c r="G33" s="9" t="s">
        <v>64</v>
      </c>
      <c r="H33" s="9">
        <v>456677</v>
      </c>
      <c r="I33" s="9" t="s">
        <v>71</v>
      </c>
      <c r="J33" s="9">
        <v>1314</v>
      </c>
      <c r="K33" s="9" t="s">
        <v>50</v>
      </c>
      <c r="L33" s="9">
        <v>10</v>
      </c>
      <c r="M33" s="9">
        <v>2</v>
      </c>
      <c r="N33" s="9">
        <v>8</v>
      </c>
      <c r="Q33" t="str">
        <f>IFERROR(INDEX($B$2:$B$10000,MATCH(0,INDEX(COUNTIF($Q$6:Q32,$B$2:$B$19),),0)),"")</f>
        <v/>
      </c>
      <c r="T33" s="47"/>
      <c r="U33" s="47"/>
      <c r="V33" s="47"/>
    </row>
    <row r="34" spans="1:22" x14ac:dyDescent="0.3">
      <c r="A34" s="32">
        <v>43683</v>
      </c>
      <c r="B34" s="14" t="s">
        <v>67</v>
      </c>
      <c r="C34" s="14">
        <v>2100</v>
      </c>
      <c r="D34" s="9">
        <v>123456789123456</v>
      </c>
      <c r="E34" s="9" t="s">
        <v>68</v>
      </c>
      <c r="F34" s="9" t="s">
        <v>69</v>
      </c>
      <c r="G34" s="9" t="s">
        <v>62</v>
      </c>
      <c r="H34" s="9">
        <v>34576</v>
      </c>
      <c r="I34" s="9" t="s">
        <v>71</v>
      </c>
      <c r="J34" s="9">
        <v>1314</v>
      </c>
      <c r="K34" s="9" t="s">
        <v>50</v>
      </c>
      <c r="L34" s="9">
        <v>100</v>
      </c>
      <c r="M34" s="9">
        <v>2</v>
      </c>
      <c r="N34" s="9">
        <v>98</v>
      </c>
      <c r="Q34" t="str">
        <f>IFERROR(INDEX($B$2:$B$10000,MATCH(0,INDEX(COUNTIF($Q$6:Q33,$B$2:$B$19),),0)),"")</f>
        <v/>
      </c>
      <c r="T34" s="47"/>
    </row>
    <row r="35" spans="1:22" x14ac:dyDescent="0.3">
      <c r="A35" s="32">
        <v>43683</v>
      </c>
      <c r="B35" s="14" t="s">
        <v>67</v>
      </c>
      <c r="C35" s="14">
        <v>2100</v>
      </c>
      <c r="D35" s="9">
        <v>123456789123456</v>
      </c>
      <c r="E35" s="9" t="s">
        <v>68</v>
      </c>
      <c r="F35" s="9" t="s">
        <v>69</v>
      </c>
      <c r="G35" s="9" t="s">
        <v>63</v>
      </c>
      <c r="H35" s="9">
        <v>456677</v>
      </c>
      <c r="I35" s="9" t="s">
        <v>71</v>
      </c>
      <c r="J35" s="9">
        <v>1314</v>
      </c>
      <c r="K35" s="9" t="s">
        <v>50</v>
      </c>
      <c r="L35" s="9">
        <v>10</v>
      </c>
      <c r="M35" s="9">
        <v>2</v>
      </c>
      <c r="N35" s="9">
        <v>8</v>
      </c>
      <c r="Q35" t="str">
        <f>IFERROR(INDEX($B$2:$B$10000,MATCH(0,INDEX(COUNTIF($Q$6:Q34,$B$2:$B$19),),0)),"")</f>
        <v/>
      </c>
      <c r="T35" s="47"/>
    </row>
    <row r="36" spans="1:22" x14ac:dyDescent="0.3">
      <c r="A36" s="32">
        <v>43683</v>
      </c>
      <c r="B36" s="14" t="s">
        <v>67</v>
      </c>
      <c r="C36" s="14">
        <v>2100</v>
      </c>
      <c r="D36" s="9">
        <v>123456789123456</v>
      </c>
      <c r="E36" s="9" t="s">
        <v>68</v>
      </c>
      <c r="F36" s="9" t="s">
        <v>69</v>
      </c>
      <c r="G36" s="9" t="s">
        <v>65</v>
      </c>
      <c r="H36" s="9">
        <v>12345</v>
      </c>
      <c r="I36" s="9" t="s">
        <v>70</v>
      </c>
      <c r="J36" s="9">
        <v>1314</v>
      </c>
      <c r="K36" s="9" t="s">
        <v>50</v>
      </c>
      <c r="L36" s="9">
        <v>10</v>
      </c>
      <c r="M36" s="9">
        <v>0</v>
      </c>
      <c r="N36" s="9">
        <v>10</v>
      </c>
      <c r="Q36" t="str">
        <f>IFERROR(INDEX($B$2:$B$10000,MATCH(0,INDEX(COUNTIF($Q$6:Q35,$B$2:$B$19),),0)),"")</f>
        <v/>
      </c>
      <c r="T36" s="47"/>
    </row>
    <row r="37" spans="1:22" x14ac:dyDescent="0.3">
      <c r="A37" s="32">
        <v>43683</v>
      </c>
      <c r="B37" s="14" t="s">
        <v>67</v>
      </c>
      <c r="C37" s="14">
        <v>2100</v>
      </c>
      <c r="D37" s="9">
        <v>123456789123456</v>
      </c>
      <c r="E37" s="9" t="s">
        <v>68</v>
      </c>
      <c r="F37" s="9" t="s">
        <v>69</v>
      </c>
      <c r="G37" s="9" t="s">
        <v>62</v>
      </c>
      <c r="H37" s="9">
        <v>34576</v>
      </c>
      <c r="I37" s="9" t="s">
        <v>71</v>
      </c>
      <c r="J37" s="9">
        <v>1314</v>
      </c>
      <c r="K37" s="9" t="s">
        <v>50</v>
      </c>
      <c r="L37" s="9">
        <v>100</v>
      </c>
      <c r="M37" s="9">
        <v>0</v>
      </c>
      <c r="N37" s="9">
        <v>100</v>
      </c>
      <c r="Q37" t="str">
        <f>IFERROR(INDEX($B$2:$B$10000,MATCH(0,INDEX(COUNTIF($Q$6:Q36,$B$2:$B$19),),0)),"")</f>
        <v/>
      </c>
      <c r="T37" s="47"/>
    </row>
    <row r="38" spans="1:22" x14ac:dyDescent="0.3">
      <c r="A38" s="32">
        <v>43683</v>
      </c>
      <c r="B38" s="14" t="s">
        <v>59</v>
      </c>
      <c r="C38" s="14">
        <v>2101</v>
      </c>
      <c r="D38" s="9">
        <v>123456789012354</v>
      </c>
      <c r="E38" s="9" t="s">
        <v>60</v>
      </c>
      <c r="F38" s="9" t="s">
        <v>60</v>
      </c>
      <c r="G38" s="9" t="s">
        <v>64</v>
      </c>
      <c r="H38" s="9">
        <v>456677</v>
      </c>
      <c r="I38" s="9" t="s">
        <v>70</v>
      </c>
      <c r="J38" s="9">
        <v>1314</v>
      </c>
      <c r="K38" s="9" t="s">
        <v>50</v>
      </c>
      <c r="L38" s="9">
        <v>10</v>
      </c>
      <c r="M38" s="9">
        <v>2</v>
      </c>
      <c r="N38" s="9">
        <v>8</v>
      </c>
      <c r="Q38" t="str">
        <f>IFERROR(INDEX($B$2:$B$10000,MATCH(0,INDEX(COUNTIF($Q$6:Q37,$B$2:$B$19),),0)),"")</f>
        <v/>
      </c>
    </row>
    <row r="39" spans="1:22" x14ac:dyDescent="0.3">
      <c r="A39" s="32">
        <v>43683</v>
      </c>
      <c r="B39" s="14" t="s">
        <v>59</v>
      </c>
      <c r="C39" s="14">
        <v>2101</v>
      </c>
      <c r="D39" s="9">
        <v>123456789012354</v>
      </c>
      <c r="E39" s="9" t="s">
        <v>60</v>
      </c>
      <c r="F39" s="9" t="s">
        <v>60</v>
      </c>
      <c r="G39" s="9" t="s">
        <v>64</v>
      </c>
      <c r="H39" s="9">
        <v>456677</v>
      </c>
      <c r="I39" s="9" t="s">
        <v>71</v>
      </c>
      <c r="J39" s="9">
        <v>1314</v>
      </c>
      <c r="K39" s="9" t="s">
        <v>50</v>
      </c>
      <c r="L39" s="9">
        <v>10</v>
      </c>
      <c r="M39" s="9">
        <v>2</v>
      </c>
      <c r="N39" s="9">
        <v>8</v>
      </c>
      <c r="Q39" t="str">
        <f>IFERROR(INDEX($B$2:$B$10000,MATCH(0,INDEX(COUNTIF($Q$6:Q38,$B$2:$B$19),),0)),"")</f>
        <v/>
      </c>
    </row>
    <row r="40" spans="1:22" x14ac:dyDescent="0.3">
      <c r="A40" s="32">
        <v>43683</v>
      </c>
      <c r="B40" s="14" t="s">
        <v>59</v>
      </c>
      <c r="C40" s="14">
        <v>2101</v>
      </c>
      <c r="D40" s="9">
        <v>123456789012354</v>
      </c>
      <c r="E40" s="9" t="s">
        <v>60</v>
      </c>
      <c r="F40" s="9" t="s">
        <v>60</v>
      </c>
      <c r="G40" s="9" t="s">
        <v>62</v>
      </c>
      <c r="H40" s="9">
        <v>34576</v>
      </c>
      <c r="I40" s="9" t="s">
        <v>71</v>
      </c>
      <c r="J40" s="9">
        <v>1314</v>
      </c>
      <c r="K40" s="9" t="s">
        <v>50</v>
      </c>
      <c r="L40" s="9">
        <v>100</v>
      </c>
      <c r="M40" s="9">
        <v>2</v>
      </c>
      <c r="N40" s="9">
        <v>98</v>
      </c>
      <c r="Q40" t="str">
        <f>IFERROR(INDEX($B$2:$B$10000,MATCH(0,INDEX(COUNTIF($Q$6:Q39,$B$2:$B$19),),0)),"")</f>
        <v/>
      </c>
    </row>
    <row r="41" spans="1:22" x14ac:dyDescent="0.3">
      <c r="A41" s="32">
        <v>43683</v>
      </c>
      <c r="B41" s="14" t="s">
        <v>59</v>
      </c>
      <c r="C41" s="14">
        <v>2101</v>
      </c>
      <c r="D41" s="9">
        <v>123456789012354</v>
      </c>
      <c r="E41" s="9" t="s">
        <v>60</v>
      </c>
      <c r="F41" s="9" t="s">
        <v>60</v>
      </c>
      <c r="G41" s="9" t="s">
        <v>63</v>
      </c>
      <c r="H41" s="9">
        <v>456677</v>
      </c>
      <c r="I41" s="9" t="s">
        <v>71</v>
      </c>
      <c r="J41" s="9">
        <v>1314</v>
      </c>
      <c r="K41" s="9" t="s">
        <v>50</v>
      </c>
      <c r="L41" s="9">
        <v>10</v>
      </c>
      <c r="M41" s="9">
        <v>2</v>
      </c>
      <c r="N41" s="9">
        <v>8</v>
      </c>
      <c r="Q41" t="str">
        <f>IFERROR(INDEX($B$2:$B$10000,MATCH(0,INDEX(COUNTIF($Q$6:Q40,$B$2:$B$19),),0)),"")</f>
        <v/>
      </c>
    </row>
    <row r="42" spans="1:22" x14ac:dyDescent="0.3">
      <c r="A42" s="32">
        <v>43683</v>
      </c>
      <c r="B42" s="14" t="s">
        <v>59</v>
      </c>
      <c r="C42" s="14">
        <v>2101</v>
      </c>
      <c r="D42" s="9">
        <v>123456789012354</v>
      </c>
      <c r="E42" s="9" t="s">
        <v>60</v>
      </c>
      <c r="F42" s="9" t="s">
        <v>60</v>
      </c>
      <c r="G42" s="9" t="s">
        <v>65</v>
      </c>
      <c r="H42" s="9">
        <v>12345</v>
      </c>
      <c r="I42" s="9" t="s">
        <v>70</v>
      </c>
      <c r="J42" s="9">
        <v>1314</v>
      </c>
      <c r="K42" s="9" t="s">
        <v>50</v>
      </c>
      <c r="L42" s="9">
        <v>10</v>
      </c>
      <c r="M42" s="9">
        <v>0</v>
      </c>
      <c r="N42" s="9">
        <v>10</v>
      </c>
      <c r="Q42" t="str">
        <f>IFERROR(INDEX($B$2:$B$10000,MATCH(0,INDEX(COUNTIF($Q$6:Q41,$B$2:$B$19),),0)),"")</f>
        <v/>
      </c>
    </row>
    <row r="43" spans="1:22" x14ac:dyDescent="0.3">
      <c r="A43" s="32">
        <v>43683</v>
      </c>
      <c r="B43" s="13" t="s">
        <v>59</v>
      </c>
      <c r="C43" s="13">
        <v>2101</v>
      </c>
      <c r="D43" s="9">
        <v>123456789012354</v>
      </c>
      <c r="E43" s="9" t="s">
        <v>60</v>
      </c>
      <c r="F43" s="9" t="s">
        <v>60</v>
      </c>
      <c r="G43" s="9" t="s">
        <v>62</v>
      </c>
      <c r="H43" s="9">
        <v>34576</v>
      </c>
      <c r="I43" s="9" t="s">
        <v>71</v>
      </c>
      <c r="J43" s="9">
        <v>1314</v>
      </c>
      <c r="K43" s="9" t="s">
        <v>50</v>
      </c>
      <c r="L43" s="9">
        <v>100</v>
      </c>
      <c r="M43" s="9">
        <v>0</v>
      </c>
      <c r="N43" s="9">
        <v>100</v>
      </c>
      <c r="Q43" t="str">
        <f>IFERROR(INDEX($B$2:$B$10000,MATCH(0,INDEX(COUNTIF($Q$6:Q42,$B$2:$B$19),),0)),"")</f>
        <v/>
      </c>
    </row>
    <row r="44" spans="1:22" x14ac:dyDescent="0.3">
      <c r="A44" s="32">
        <v>43683</v>
      </c>
      <c r="B44" s="13" t="s">
        <v>59</v>
      </c>
      <c r="C44" s="13">
        <v>3006</v>
      </c>
      <c r="D44" s="9">
        <v>123456789012354</v>
      </c>
      <c r="E44" s="9" t="s">
        <v>60</v>
      </c>
      <c r="F44" s="9" t="s">
        <v>60</v>
      </c>
      <c r="G44" s="9" t="s">
        <v>64</v>
      </c>
      <c r="H44" s="9">
        <v>2345</v>
      </c>
      <c r="I44" s="9" t="s">
        <v>71</v>
      </c>
      <c r="J44" s="9">
        <v>1121</v>
      </c>
      <c r="K44" s="9" t="s">
        <v>49</v>
      </c>
      <c r="L44" s="9">
        <v>20</v>
      </c>
      <c r="M44" s="9"/>
      <c r="N44" s="9">
        <v>20</v>
      </c>
      <c r="Q44" t="str">
        <f>IFERROR(INDEX($B$2:$B$10000,MATCH(0,INDEX(COUNTIF($Q$6:Q43,$B$2:$B$19),),0)),"")</f>
        <v/>
      </c>
    </row>
    <row r="45" spans="1:22" x14ac:dyDescent="0.3">
      <c r="A45" s="32">
        <v>43683</v>
      </c>
      <c r="B45" s="13" t="s">
        <v>59</v>
      </c>
      <c r="C45" s="13">
        <v>3006</v>
      </c>
      <c r="D45" s="9">
        <v>123456789012354</v>
      </c>
      <c r="E45" s="9" t="s">
        <v>60</v>
      </c>
      <c r="F45" s="9" t="s">
        <v>60</v>
      </c>
      <c r="G45" s="9" t="s">
        <v>63</v>
      </c>
      <c r="H45" s="9">
        <v>456677</v>
      </c>
      <c r="I45" s="9" t="s">
        <v>70</v>
      </c>
      <c r="J45" s="9"/>
      <c r="K45" s="9" t="s">
        <v>106</v>
      </c>
      <c r="L45" s="9">
        <v>10</v>
      </c>
      <c r="M45" s="9">
        <v>1</v>
      </c>
      <c r="N45" s="9">
        <v>9</v>
      </c>
      <c r="Q45" t="str">
        <f>IFERROR(INDEX($B$2:$B$10000,MATCH(0,INDEX(COUNTIF($Q$6:Q44,$B$2:$B$19),),0)),"")</f>
        <v/>
      </c>
    </row>
    <row r="46" spans="1:22" x14ac:dyDescent="0.3">
      <c r="A46" s="32">
        <v>43683</v>
      </c>
      <c r="B46" s="13" t="s">
        <v>59</v>
      </c>
      <c r="C46" s="13">
        <v>3006</v>
      </c>
      <c r="D46" s="9">
        <v>123456789012354</v>
      </c>
      <c r="E46" s="9" t="s">
        <v>60</v>
      </c>
      <c r="F46" s="9" t="s">
        <v>60</v>
      </c>
      <c r="G46" s="9" t="s">
        <v>64</v>
      </c>
      <c r="H46" s="9">
        <v>2345</v>
      </c>
      <c r="I46" s="9" t="s">
        <v>71</v>
      </c>
      <c r="J46" s="9">
        <v>1314</v>
      </c>
      <c r="K46" s="9" t="s">
        <v>50</v>
      </c>
      <c r="L46" s="9">
        <v>20</v>
      </c>
      <c r="M46" s="9"/>
      <c r="N46" s="9">
        <v>20</v>
      </c>
      <c r="Q46" t="str">
        <f>IFERROR(INDEX($B$2:$B$10000,MATCH(0,INDEX(COUNTIF($Q$6:Q45,$B$2:$B$19),),0)),"")</f>
        <v/>
      </c>
    </row>
    <row r="47" spans="1:22" x14ac:dyDescent="0.3">
      <c r="A47" s="32">
        <v>43683</v>
      </c>
      <c r="B47" s="14" t="s">
        <v>59</v>
      </c>
      <c r="C47" s="14">
        <v>3007</v>
      </c>
      <c r="D47" s="9">
        <v>123456789012354</v>
      </c>
      <c r="E47" s="9" t="s">
        <v>60</v>
      </c>
      <c r="F47" s="9" t="s">
        <v>60</v>
      </c>
      <c r="G47" s="9" t="s">
        <v>64</v>
      </c>
      <c r="H47" s="9">
        <v>2345</v>
      </c>
      <c r="I47" s="9" t="s">
        <v>71</v>
      </c>
      <c r="J47" s="9">
        <v>1121</v>
      </c>
      <c r="K47" s="9" t="s">
        <v>49</v>
      </c>
      <c r="L47" s="9">
        <v>20</v>
      </c>
      <c r="M47" s="9"/>
      <c r="N47" s="9">
        <v>20</v>
      </c>
      <c r="Q47" t="str">
        <f>IFERROR(INDEX($B$2:$B$10000,MATCH(0,INDEX(COUNTIF($Q$6:Q46,$B$2:$B$19),),0)),"")</f>
        <v/>
      </c>
    </row>
    <row r="48" spans="1:22" x14ac:dyDescent="0.3">
      <c r="A48" s="32">
        <v>43683</v>
      </c>
      <c r="B48" s="14" t="s">
        <v>56</v>
      </c>
      <c r="C48" s="14">
        <v>1000</v>
      </c>
      <c r="D48" s="9">
        <v>122312312312334</v>
      </c>
      <c r="E48" s="9" t="s">
        <v>57</v>
      </c>
      <c r="F48" s="9" t="s">
        <v>58</v>
      </c>
      <c r="G48" s="9" t="s">
        <v>65</v>
      </c>
      <c r="H48" s="9">
        <v>12345</v>
      </c>
      <c r="I48" s="9" t="s">
        <v>71</v>
      </c>
      <c r="J48" s="9">
        <v>9101</v>
      </c>
      <c r="K48" s="9" t="s">
        <v>48</v>
      </c>
      <c r="L48" s="9">
        <v>10</v>
      </c>
      <c r="M48" s="9"/>
      <c r="N48" s="9">
        <v>10</v>
      </c>
      <c r="Q48" t="str">
        <f>IFERROR(INDEX($B$2:$B$10000,MATCH(0,INDEX(COUNTIF($Q$6:Q47,$B$2:$B$19),),0)),"")</f>
        <v/>
      </c>
    </row>
    <row r="49" spans="1:17" x14ac:dyDescent="0.3">
      <c r="A49" s="32">
        <v>43683</v>
      </c>
      <c r="B49" s="14" t="s">
        <v>56</v>
      </c>
      <c r="C49" s="14">
        <v>1000</v>
      </c>
      <c r="D49" s="9">
        <v>122312312312334</v>
      </c>
      <c r="E49" s="9" t="s">
        <v>57</v>
      </c>
      <c r="F49" s="9" t="s">
        <v>58</v>
      </c>
      <c r="G49" s="9" t="s">
        <v>64</v>
      </c>
      <c r="H49" s="9">
        <v>2345</v>
      </c>
      <c r="I49" s="9" t="s">
        <v>70</v>
      </c>
      <c r="J49" s="9">
        <v>1314</v>
      </c>
      <c r="K49" s="9" t="s">
        <v>50</v>
      </c>
      <c r="L49" s="9">
        <v>20</v>
      </c>
      <c r="M49" s="9"/>
      <c r="N49" s="9">
        <v>20</v>
      </c>
      <c r="Q49" t="str">
        <f>IFERROR(INDEX($B$2:$B$10000,MATCH(0,INDEX(COUNTIF($Q$6:Q48,$B$2:$B$19),),0)),"")</f>
        <v/>
      </c>
    </row>
    <row r="50" spans="1:17" x14ac:dyDescent="0.3">
      <c r="A50" s="46">
        <v>43683</v>
      </c>
      <c r="B50" s="14" t="s">
        <v>59</v>
      </c>
      <c r="C50" s="14">
        <v>1005</v>
      </c>
      <c r="D50" s="9">
        <v>123456789012354</v>
      </c>
      <c r="E50" s="9" t="s">
        <v>60</v>
      </c>
      <c r="F50" s="9" t="s">
        <v>60</v>
      </c>
      <c r="G50" s="9" t="s">
        <v>63</v>
      </c>
      <c r="H50" s="9">
        <v>456677</v>
      </c>
      <c r="I50" s="9" t="s">
        <v>71</v>
      </c>
      <c r="J50" s="9">
        <v>5678</v>
      </c>
      <c r="K50" s="9" t="s">
        <v>47</v>
      </c>
      <c r="L50" s="9">
        <v>10</v>
      </c>
      <c r="M50" s="9"/>
      <c r="N50" s="9">
        <v>10</v>
      </c>
      <c r="Q50" t="str">
        <f>IFERROR(INDEX($B$2:$B$10000,MATCH(0,INDEX(COUNTIF($Q$6:Q49,$B$2:$B$19),),0)),"")</f>
        <v/>
      </c>
    </row>
    <row r="51" spans="1:17" x14ac:dyDescent="0.3">
      <c r="A51" s="46">
        <v>43683</v>
      </c>
      <c r="B51" s="14" t="s">
        <v>59</v>
      </c>
      <c r="C51" s="14">
        <v>1006</v>
      </c>
      <c r="D51" s="9">
        <v>123456789012354</v>
      </c>
      <c r="E51" s="9" t="s">
        <v>60</v>
      </c>
      <c r="F51" s="9" t="s">
        <v>60</v>
      </c>
      <c r="G51" s="9" t="s">
        <v>63</v>
      </c>
      <c r="H51" s="9">
        <v>456677</v>
      </c>
      <c r="I51" s="9" t="s">
        <v>71</v>
      </c>
      <c r="J51" s="9">
        <v>1314</v>
      </c>
      <c r="K51" s="9" t="s">
        <v>50</v>
      </c>
      <c r="L51" s="9">
        <v>10</v>
      </c>
      <c r="M51" s="9"/>
      <c r="N51" s="9">
        <v>10</v>
      </c>
      <c r="Q51" t="str">
        <f>IFERROR(INDEX($B$2:$B$10000,MATCH(0,INDEX(COUNTIF($Q$6:Q50,$B$2:$B$19),),0)),"")</f>
        <v/>
      </c>
    </row>
    <row r="52" spans="1:17" x14ac:dyDescent="0.3">
      <c r="A52" s="46"/>
      <c r="B52" s="14"/>
      <c r="C52" s="14"/>
      <c r="D52" s="9"/>
      <c r="E52" s="9"/>
      <c r="F52" s="9"/>
      <c r="G52" s="9"/>
      <c r="H52" s="9" t="s">
        <v>106</v>
      </c>
      <c r="I52" s="9"/>
      <c r="J52" s="9"/>
      <c r="K52" s="9" t="s">
        <v>106</v>
      </c>
      <c r="L52" s="9" t="s">
        <v>106</v>
      </c>
      <c r="M52" s="9"/>
      <c r="N52" s="9" t="s">
        <v>106</v>
      </c>
      <c r="Q52" t="str">
        <f>IFERROR(INDEX($B$2:$B$10000,MATCH(0,INDEX(COUNTIF($Q$6:Q51,$B$2:$B$19),),0)),"")</f>
        <v/>
      </c>
    </row>
    <row r="53" spans="1:17" x14ac:dyDescent="0.3">
      <c r="A53" s="46"/>
      <c r="B53" s="14"/>
      <c r="C53" s="14"/>
      <c r="D53" s="9"/>
      <c r="E53" s="9"/>
      <c r="F53" s="9"/>
      <c r="G53" s="9"/>
      <c r="H53" s="9"/>
      <c r="I53" s="9"/>
      <c r="J53" s="9"/>
      <c r="K53" s="9"/>
      <c r="L53" s="9"/>
      <c r="M53" s="9"/>
      <c r="N53" s="9" t="s">
        <v>106</v>
      </c>
      <c r="Q53" t="str">
        <f>IFERROR(INDEX($B$2:$B$10000,MATCH(0,INDEX(COUNTIF($Q$6:Q52,$B$2:$B$19),),0)),"")</f>
        <v/>
      </c>
    </row>
    <row r="54" spans="1:17" x14ac:dyDescent="0.3">
      <c r="A54" s="46"/>
      <c r="B54" s="14"/>
      <c r="C54" s="14"/>
      <c r="D54" s="9"/>
      <c r="E54" s="9"/>
      <c r="F54" s="9"/>
      <c r="G54" s="9"/>
      <c r="H54" s="9"/>
      <c r="I54" s="9"/>
      <c r="J54" s="9"/>
      <c r="K54" s="9"/>
      <c r="L54" s="9"/>
      <c r="M54" s="9"/>
      <c r="N54" s="9" t="s">
        <v>106</v>
      </c>
      <c r="Q54" t="str">
        <f>IFERROR(INDEX($B$2:$B$10000,MATCH(0,INDEX(COUNTIF($Q$6:Q53,$B$2:$B$19),),0)),"")</f>
        <v/>
      </c>
    </row>
    <row r="55" spans="1:17" x14ac:dyDescent="0.3">
      <c r="A55" s="46"/>
      <c r="B55" s="14"/>
      <c r="C55" s="14"/>
      <c r="D55" s="9"/>
      <c r="E55" s="9"/>
      <c r="F55" s="9"/>
      <c r="G55" s="9"/>
      <c r="H55" s="9"/>
      <c r="I55" s="9"/>
      <c r="J55" s="9"/>
      <c r="K55" s="9"/>
      <c r="L55" s="9"/>
      <c r="M55" s="9"/>
      <c r="N55" s="9" t="s">
        <v>106</v>
      </c>
      <c r="Q55" t="str">
        <f>IFERROR(INDEX($B$2:$B$10000,MATCH(0,INDEX(COUNTIF($Q$6:Q54,$B$2:$B$19),),0)),"")</f>
        <v/>
      </c>
    </row>
    <row r="56" spans="1:17" x14ac:dyDescent="0.3">
      <c r="A56" s="32"/>
      <c r="B56" s="14"/>
      <c r="C56" s="14"/>
      <c r="D56" s="9"/>
      <c r="E56" s="9"/>
      <c r="F56" s="9"/>
      <c r="G56" s="9"/>
      <c r="H56" s="9"/>
      <c r="I56" s="9"/>
      <c r="J56" s="9"/>
      <c r="K56" s="9"/>
      <c r="L56" s="9"/>
      <c r="M56" s="9"/>
      <c r="N56" s="9" t="s">
        <v>106</v>
      </c>
      <c r="Q56" t="str">
        <f>IFERROR(INDEX($B$2:$B$10000,MATCH(0,INDEX(COUNTIF($Q$6:Q55,$B$2:$B$19),),0)),"")</f>
        <v/>
      </c>
    </row>
    <row r="57" spans="1:17" x14ac:dyDescent="0.3">
      <c r="A57" s="32"/>
      <c r="B57" s="14"/>
      <c r="C57" s="14"/>
      <c r="D57" s="9"/>
      <c r="E57" s="9"/>
      <c r="F57" s="9"/>
      <c r="G57" s="9"/>
      <c r="H57" s="9"/>
      <c r="I57" s="9"/>
      <c r="J57" s="9"/>
      <c r="K57" s="9"/>
      <c r="L57" s="9"/>
      <c r="M57" s="9"/>
      <c r="N57" s="9" t="s">
        <v>106</v>
      </c>
      <c r="Q57" t="str">
        <f>IFERROR(INDEX($B$2:$B$10000,MATCH(0,INDEX(COUNTIF($Q$6:Q56,$B$2:$B$19),),0)),"")</f>
        <v/>
      </c>
    </row>
    <row r="58" spans="1:17" x14ac:dyDescent="0.3">
      <c r="A58" s="32"/>
      <c r="B58" s="14"/>
      <c r="C58" s="14"/>
      <c r="D58" s="9"/>
      <c r="E58" s="9"/>
      <c r="F58" s="9"/>
      <c r="G58" s="9"/>
      <c r="H58" s="9"/>
      <c r="I58" s="9"/>
      <c r="J58" s="9"/>
      <c r="K58" s="9"/>
      <c r="L58" s="9"/>
      <c r="M58" s="9"/>
      <c r="N58" s="9" t="s">
        <v>106</v>
      </c>
      <c r="Q58" t="str">
        <f>IFERROR(INDEX($B$2:$B$10000,MATCH(0,INDEX(COUNTIF($Q$6:Q57,$B$2:$B$19),),0)),"")</f>
        <v/>
      </c>
    </row>
    <row r="59" spans="1:17" x14ac:dyDescent="0.3">
      <c r="A59" s="32"/>
      <c r="B59" s="14"/>
      <c r="C59" s="14"/>
      <c r="D59" s="9"/>
      <c r="E59" s="9"/>
      <c r="F59" s="9"/>
      <c r="G59" s="9"/>
      <c r="H59" s="9"/>
      <c r="I59" s="9"/>
      <c r="J59" s="9"/>
      <c r="K59" s="9"/>
      <c r="L59" s="9"/>
      <c r="M59" s="9"/>
      <c r="N59" s="9" t="s">
        <v>106</v>
      </c>
      <c r="Q59" t="str">
        <f>IFERROR(INDEX($B$2:$B$10000,MATCH(0,INDEX(COUNTIF($Q$6:Q58,$B$2:$B$19),),0)),"")</f>
        <v/>
      </c>
    </row>
    <row r="60" spans="1:17" x14ac:dyDescent="0.3">
      <c r="B60" s="14"/>
      <c r="C60" s="14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Q60" t="str">
        <f>IFERROR(INDEX($B$2:$B$10000,MATCH(0,INDEX(COUNTIF($Q$6:Q59,$B$2:$B$19),),0)),"")</f>
        <v/>
      </c>
    </row>
    <row r="61" spans="1:17" x14ac:dyDescent="0.3">
      <c r="B61" s="14"/>
      <c r="C61" s="14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Q61" t="str">
        <f>IFERROR(INDEX($B$2:$B$10000,MATCH(0,INDEX(COUNTIF($Q$6:Q60,$B$2:$B$19),),0)),"")</f>
        <v/>
      </c>
    </row>
    <row r="62" spans="1:17" x14ac:dyDescent="0.3">
      <c r="B62" s="14"/>
      <c r="C62" s="14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Q62" t="str">
        <f>IFERROR(INDEX($B$2:$B$10000,MATCH(0,INDEX(COUNTIF($Q$6:Q61,$B$2:$B$19),),0)),"")</f>
        <v/>
      </c>
    </row>
    <row r="63" spans="1:17" x14ac:dyDescent="0.3">
      <c r="B63" s="14"/>
      <c r="C63" s="14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Q63" t="str">
        <f>IFERROR(INDEX($B$2:$B$10000,MATCH(0,INDEX(COUNTIF($Q$6:Q62,$B$2:$B$19),),0)),"")</f>
        <v/>
      </c>
    </row>
    <row r="64" spans="1:17" x14ac:dyDescent="0.3">
      <c r="B64" s="14"/>
      <c r="C64" s="14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Q64" t="str">
        <f>IFERROR(INDEX($B$2:$B$10000,MATCH(0,INDEX(COUNTIF($Q$6:Q63,$B$2:$B$19),),0)),"")</f>
        <v/>
      </c>
    </row>
    <row r="65" spans="1:14" x14ac:dyDescent="0.3">
      <c r="A65" s="32"/>
      <c r="B65" s="14"/>
      <c r="C65" s="14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1:14" x14ac:dyDescent="0.3">
      <c r="A66" s="32"/>
      <c r="B66" s="14"/>
      <c r="C66" s="14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1:14" x14ac:dyDescent="0.3">
      <c r="A67" s="32"/>
      <c r="B67" s="14"/>
      <c r="C67" s="14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1:14" x14ac:dyDescent="0.3">
      <c r="A68" s="32"/>
      <c r="B68" s="14"/>
      <c r="C68" s="14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1:14" x14ac:dyDescent="0.3">
      <c r="A69" s="32"/>
      <c r="B69" s="14"/>
      <c r="C69" s="14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1:14" x14ac:dyDescent="0.3">
      <c r="A70" s="32"/>
      <c r="B70" s="14"/>
      <c r="C70" s="14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1:14" x14ac:dyDescent="0.3">
      <c r="A71" s="32"/>
      <c r="B71" s="14"/>
      <c r="C71" s="14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1:14" x14ac:dyDescent="0.3">
      <c r="B72" s="14"/>
      <c r="C72" s="14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1:14" x14ac:dyDescent="0.3">
      <c r="B73" s="14"/>
      <c r="C73" s="14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1:14" x14ac:dyDescent="0.3">
      <c r="B74" s="14"/>
      <c r="C74" s="14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1:14" x14ac:dyDescent="0.3">
      <c r="B75" s="14"/>
      <c r="C75" s="14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1:14" x14ac:dyDescent="0.3">
      <c r="B76" s="14"/>
      <c r="C76" s="14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1:14" x14ac:dyDescent="0.3">
      <c r="A77" s="32"/>
      <c r="B77" s="14"/>
      <c r="C77" s="14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 x14ac:dyDescent="0.3">
      <c r="A78" s="32"/>
      <c r="B78" s="14"/>
      <c r="C78" s="14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1:14" x14ac:dyDescent="0.3">
      <c r="A79" s="32"/>
      <c r="B79" s="14"/>
      <c r="C79" s="14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1:14" x14ac:dyDescent="0.3">
      <c r="A80" s="32"/>
      <c r="B80" s="14"/>
      <c r="C80" s="14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1:14" x14ac:dyDescent="0.3">
      <c r="A81" s="32"/>
      <c r="B81" s="14"/>
      <c r="C81" s="14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1:14" x14ac:dyDescent="0.3">
      <c r="A82" s="32"/>
      <c r="B82" s="14"/>
      <c r="C82" s="14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1:14" x14ac:dyDescent="0.3">
      <c r="A83" s="32"/>
      <c r="B83" s="14"/>
      <c r="C83" s="14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1:14" x14ac:dyDescent="0.3">
      <c r="B84" s="14"/>
      <c r="C84" s="14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1:14" x14ac:dyDescent="0.3">
      <c r="B85" s="14"/>
      <c r="C85" s="14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</row>
    <row r="86" spans="1:14" x14ac:dyDescent="0.3">
      <c r="B86" s="14"/>
      <c r="C86" s="14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</row>
    <row r="87" spans="1:14" x14ac:dyDescent="0.3">
      <c r="B87" s="14"/>
      <c r="C87" s="1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88" spans="1:14" x14ac:dyDescent="0.3">
      <c r="B88" s="14"/>
      <c r="C88" s="14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</row>
    <row r="89" spans="1:14" x14ac:dyDescent="0.3">
      <c r="B89" s="14"/>
      <c r="C89" s="14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</row>
    <row r="90" spans="1:14" x14ac:dyDescent="0.3">
      <c r="A90" s="32"/>
      <c r="B90" s="14"/>
      <c r="C90" s="14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</row>
    <row r="91" spans="1:14" x14ac:dyDescent="0.3">
      <c r="A91" s="32"/>
      <c r="B91" s="14"/>
      <c r="C91" s="14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14" x14ac:dyDescent="0.3">
      <c r="A92" s="32"/>
      <c r="B92" s="14"/>
      <c r="C92" s="14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</row>
    <row r="93" spans="1:14" x14ac:dyDescent="0.3">
      <c r="A93" s="32"/>
      <c r="B93" s="14"/>
      <c r="C93" s="14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</row>
    <row r="94" spans="1:14" x14ac:dyDescent="0.3">
      <c r="A94" s="32"/>
      <c r="B94" s="14"/>
      <c r="C94" s="14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</row>
    <row r="95" spans="1:14" x14ac:dyDescent="0.3">
      <c r="A95" s="32"/>
      <c r="B95" s="14"/>
      <c r="C95" s="14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 x14ac:dyDescent="0.3">
      <c r="B96" s="14"/>
      <c r="C96" s="14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2:14" x14ac:dyDescent="0.3">
      <c r="B97" s="14"/>
      <c r="C97" s="14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2:14" x14ac:dyDescent="0.3">
      <c r="B98" s="14"/>
      <c r="C98" s="14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</row>
    <row r="99" spans="2:14" x14ac:dyDescent="0.3">
      <c r="B99" s="14"/>
      <c r="C99" s="14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</row>
    <row r="100" spans="2:14" x14ac:dyDescent="0.3">
      <c r="B100" s="14"/>
      <c r="C100" s="14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</row>
    <row r="101" spans="2:14" x14ac:dyDescent="0.3">
      <c r="B101" s="14"/>
      <c r="C101" s="14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</row>
    <row r="102" spans="2:14" x14ac:dyDescent="0.3">
      <c r="B102" s="14"/>
      <c r="C102" s="14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</row>
    <row r="103" spans="2:14" x14ac:dyDescent="0.3">
      <c r="B103" s="14"/>
      <c r="C103" s="14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</row>
    <row r="104" spans="2:14" x14ac:dyDescent="0.3">
      <c r="B104" s="14"/>
      <c r="C104" s="14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</row>
    <row r="105" spans="2:14" x14ac:dyDescent="0.3">
      <c r="B105" s="14"/>
      <c r="C105" s="14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</row>
    <row r="106" spans="2:14" x14ac:dyDescent="0.3">
      <c r="B106" s="14"/>
      <c r="C106" s="14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</row>
    <row r="107" spans="2:14" x14ac:dyDescent="0.3">
      <c r="B107" s="14"/>
      <c r="C107" s="14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</row>
    <row r="108" spans="2:14" x14ac:dyDescent="0.3">
      <c r="B108" s="14"/>
      <c r="C108" s="14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</row>
    <row r="109" spans="2:14" x14ac:dyDescent="0.3">
      <c r="B109" s="14"/>
      <c r="C109" s="14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</row>
    <row r="110" spans="2:14" x14ac:dyDescent="0.3">
      <c r="B110" s="14"/>
      <c r="C110" s="14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</row>
    <row r="111" spans="2:14" x14ac:dyDescent="0.3">
      <c r="B111" s="14"/>
      <c r="C111" s="14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</row>
    <row r="112" spans="2:14" x14ac:dyDescent="0.3">
      <c r="B112" s="14"/>
      <c r="C112" s="14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</row>
    <row r="113" spans="2:14" x14ac:dyDescent="0.3">
      <c r="B113" s="14"/>
      <c r="C113" s="14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</row>
    <row r="114" spans="2:14" x14ac:dyDescent="0.3">
      <c r="B114" s="14"/>
      <c r="C114" s="14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</row>
    <row r="115" spans="2:14" x14ac:dyDescent="0.3">
      <c r="B115" s="14"/>
      <c r="C115" s="14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</row>
    <row r="116" spans="2:14" x14ac:dyDescent="0.3">
      <c r="B116" s="14"/>
      <c r="C116" s="14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</row>
    <row r="117" spans="2:14" x14ac:dyDescent="0.3">
      <c r="B117" s="14"/>
      <c r="C117" s="14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</row>
    <row r="118" spans="2:14" x14ac:dyDescent="0.3">
      <c r="B118" s="14"/>
      <c r="C118" s="14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</row>
    <row r="119" spans="2:14" x14ac:dyDescent="0.3">
      <c r="B119" s="14"/>
      <c r="C119" s="14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</row>
    <row r="120" spans="2:14" x14ac:dyDescent="0.3">
      <c r="B120" s="14"/>
      <c r="C120" s="14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</row>
    <row r="121" spans="2:14" x14ac:dyDescent="0.3">
      <c r="B121" s="14"/>
      <c r="C121" s="14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</row>
    <row r="122" spans="2:14" x14ac:dyDescent="0.3">
      <c r="B122" s="14"/>
      <c r="C122" s="14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</row>
    <row r="123" spans="2:14" x14ac:dyDescent="0.3">
      <c r="B123" s="14"/>
      <c r="C123" s="14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</row>
    <row r="124" spans="2:14" x14ac:dyDescent="0.3">
      <c r="B124" s="14"/>
      <c r="C124" s="14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</row>
    <row r="125" spans="2:14" x14ac:dyDescent="0.3">
      <c r="B125" s="14"/>
      <c r="C125" s="14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</row>
    <row r="126" spans="2:14" x14ac:dyDescent="0.3">
      <c r="B126" s="14"/>
      <c r="C126" s="14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</row>
    <row r="127" spans="2:14" x14ac:dyDescent="0.3">
      <c r="B127" s="14"/>
      <c r="C127" s="14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</row>
    <row r="128" spans="2:14" x14ac:dyDescent="0.3">
      <c r="B128" s="14"/>
      <c r="C128" s="14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</row>
    <row r="129" spans="2:14" x14ac:dyDescent="0.3">
      <c r="B129" s="14"/>
      <c r="C129" s="14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</row>
    <row r="130" spans="2:14" x14ac:dyDescent="0.3">
      <c r="B130" s="14"/>
      <c r="C130" s="14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</row>
    <row r="131" spans="2:14" x14ac:dyDescent="0.3">
      <c r="B131" s="14"/>
      <c r="C131" s="14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</row>
    <row r="132" spans="2:14" x14ac:dyDescent="0.3">
      <c r="B132" s="14"/>
      <c r="C132" s="14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</row>
    <row r="133" spans="2:14" x14ac:dyDescent="0.3">
      <c r="B133" s="14"/>
      <c r="C133" s="14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</row>
    <row r="134" spans="2:14" x14ac:dyDescent="0.3">
      <c r="B134" s="14"/>
      <c r="C134" s="14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</row>
    <row r="135" spans="2:14" x14ac:dyDescent="0.3">
      <c r="B135" s="14"/>
      <c r="C135" s="14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</row>
    <row r="136" spans="2:14" x14ac:dyDescent="0.3">
      <c r="B136" s="14"/>
      <c r="C136" s="14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</row>
    <row r="137" spans="2:14" x14ac:dyDescent="0.3">
      <c r="B137" s="14"/>
      <c r="C137" s="14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</row>
    <row r="138" spans="2:14" x14ac:dyDescent="0.3">
      <c r="B138" s="14"/>
      <c r="C138" s="14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</row>
    <row r="139" spans="2:14" x14ac:dyDescent="0.3">
      <c r="B139" s="14"/>
      <c r="C139" s="14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</row>
    <row r="140" spans="2:14" x14ac:dyDescent="0.3">
      <c r="B140" s="14"/>
      <c r="C140" s="14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</row>
    <row r="141" spans="2:14" x14ac:dyDescent="0.3">
      <c r="B141" s="14"/>
      <c r="C141" s="14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</row>
    <row r="142" spans="2:14" x14ac:dyDescent="0.3">
      <c r="B142" s="14"/>
      <c r="C142" s="14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</row>
    <row r="143" spans="2:14" x14ac:dyDescent="0.3">
      <c r="B143" s="14"/>
      <c r="C143" s="14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</row>
    <row r="144" spans="2:14" x14ac:dyDescent="0.3">
      <c r="B144" s="14"/>
      <c r="C144" s="14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</row>
    <row r="145" spans="2:14" x14ac:dyDescent="0.3">
      <c r="B145" s="14"/>
      <c r="C145" s="14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</row>
    <row r="146" spans="2:14" x14ac:dyDescent="0.3">
      <c r="B146" s="14"/>
      <c r="C146" s="14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</row>
    <row r="147" spans="2:14" x14ac:dyDescent="0.3">
      <c r="B147" s="14"/>
      <c r="C147" s="14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</row>
    <row r="148" spans="2:14" x14ac:dyDescent="0.3">
      <c r="B148" s="14"/>
      <c r="C148" s="14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</row>
    <row r="149" spans="2:14" x14ac:dyDescent="0.3">
      <c r="B149" s="14"/>
      <c r="C149" s="14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</row>
    <row r="150" spans="2:14" x14ac:dyDescent="0.3">
      <c r="B150" s="14"/>
      <c r="C150" s="14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</row>
    <row r="151" spans="2:14" x14ac:dyDescent="0.3">
      <c r="B151" s="14"/>
      <c r="C151" s="14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</row>
    <row r="152" spans="2:14" x14ac:dyDescent="0.3">
      <c r="B152" s="14"/>
      <c r="C152" s="14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</row>
    <row r="153" spans="2:14" x14ac:dyDescent="0.3">
      <c r="B153" s="14"/>
      <c r="C153" s="14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</row>
    <row r="154" spans="2:14" x14ac:dyDescent="0.3">
      <c r="B154" s="14"/>
      <c r="C154" s="14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</row>
    <row r="155" spans="2:14" x14ac:dyDescent="0.3">
      <c r="B155" s="14"/>
      <c r="C155" s="14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</row>
    <row r="156" spans="2:14" x14ac:dyDescent="0.3">
      <c r="B156" s="14"/>
      <c r="C156" s="14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</row>
    <row r="157" spans="2:14" x14ac:dyDescent="0.3">
      <c r="B157" s="14"/>
      <c r="C157" s="14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</row>
    <row r="158" spans="2:14" x14ac:dyDescent="0.3">
      <c r="B158" s="14"/>
      <c r="C158" s="14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</row>
    <row r="159" spans="2:14" x14ac:dyDescent="0.3">
      <c r="B159" s="14"/>
      <c r="C159" s="14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</row>
    <row r="160" spans="2:14" x14ac:dyDescent="0.3">
      <c r="B160" s="14"/>
      <c r="C160" s="14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</row>
    <row r="161" spans="2:14" x14ac:dyDescent="0.3">
      <c r="B161" s="14"/>
      <c r="C161" s="14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</row>
    <row r="162" spans="2:14" x14ac:dyDescent="0.3">
      <c r="B162" s="14"/>
      <c r="C162" s="14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</row>
    <row r="163" spans="2:14" x14ac:dyDescent="0.3">
      <c r="B163" s="14"/>
      <c r="C163" s="14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</row>
    <row r="164" spans="2:14" x14ac:dyDescent="0.3">
      <c r="B164" s="14"/>
      <c r="C164" s="14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</row>
    <row r="165" spans="2:14" x14ac:dyDescent="0.3">
      <c r="B165" s="14"/>
      <c r="C165" s="14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</row>
    <row r="166" spans="2:14" x14ac:dyDescent="0.3">
      <c r="B166" s="14"/>
      <c r="C166" s="14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</row>
    <row r="167" spans="2:14" x14ac:dyDescent="0.3">
      <c r="B167" s="14"/>
      <c r="C167" s="14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</row>
    <row r="168" spans="2:14" x14ac:dyDescent="0.3">
      <c r="B168" s="14"/>
      <c r="C168" s="14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</row>
    <row r="169" spans="2:14" x14ac:dyDescent="0.3">
      <c r="B169" s="14"/>
      <c r="C169" s="14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</row>
    <row r="170" spans="2:14" x14ac:dyDescent="0.3">
      <c r="B170" s="14"/>
      <c r="C170" s="14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</row>
    <row r="171" spans="2:14" x14ac:dyDescent="0.3">
      <c r="B171" s="14"/>
      <c r="C171" s="14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</row>
    <row r="172" spans="2:14" x14ac:dyDescent="0.3">
      <c r="B172" s="14"/>
      <c r="C172" s="14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</row>
    <row r="173" spans="2:14" x14ac:dyDescent="0.3">
      <c r="B173" s="14"/>
      <c r="C173" s="14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</row>
    <row r="174" spans="2:14" x14ac:dyDescent="0.3">
      <c r="B174" s="14"/>
      <c r="C174" s="14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</row>
    <row r="175" spans="2:14" x14ac:dyDescent="0.3">
      <c r="B175" s="14"/>
      <c r="C175" s="14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</row>
    <row r="176" spans="2:14" x14ac:dyDescent="0.3">
      <c r="B176" s="14"/>
      <c r="C176" s="14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</row>
    <row r="177" spans="2:14" x14ac:dyDescent="0.3">
      <c r="B177" s="14"/>
      <c r="C177" s="14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</row>
    <row r="178" spans="2:14" x14ac:dyDescent="0.3">
      <c r="B178" s="14"/>
      <c r="C178" s="14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</row>
    <row r="179" spans="2:14" x14ac:dyDescent="0.3">
      <c r="B179" s="14"/>
      <c r="C179" s="14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</row>
    <row r="180" spans="2:14" x14ac:dyDescent="0.3">
      <c r="B180" s="14"/>
      <c r="C180" s="14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</row>
    <row r="181" spans="2:14" x14ac:dyDescent="0.3">
      <c r="B181" s="14"/>
      <c r="C181" s="14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</row>
    <row r="182" spans="2:14" x14ac:dyDescent="0.3">
      <c r="B182" s="14"/>
      <c r="C182" s="14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</row>
    <row r="183" spans="2:14" x14ac:dyDescent="0.3">
      <c r="B183" s="14"/>
      <c r="C183" s="14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</row>
    <row r="184" spans="2:14" x14ac:dyDescent="0.3">
      <c r="B184" s="14"/>
      <c r="C184" s="14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</row>
    <row r="185" spans="2:14" x14ac:dyDescent="0.3">
      <c r="B185" s="14"/>
      <c r="C185" s="14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</row>
    <row r="186" spans="2:14" x14ac:dyDescent="0.3">
      <c r="B186" s="14"/>
      <c r="C186" s="14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</row>
    <row r="187" spans="2:14" x14ac:dyDescent="0.3">
      <c r="B187" s="14"/>
      <c r="C187" s="14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</row>
    <row r="188" spans="2:14" x14ac:dyDescent="0.3">
      <c r="B188" s="14"/>
      <c r="C188" s="14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</row>
    <row r="189" spans="2:14" x14ac:dyDescent="0.3">
      <c r="B189" s="14"/>
      <c r="C189" s="14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</row>
    <row r="190" spans="2:14" x14ac:dyDescent="0.3">
      <c r="B190" s="14"/>
      <c r="C190" s="14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</row>
    <row r="191" spans="2:14" x14ac:dyDescent="0.3">
      <c r="B191" s="14"/>
      <c r="C191" s="14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</row>
    <row r="192" spans="2:14" x14ac:dyDescent="0.3">
      <c r="B192" s="14"/>
      <c r="C192" s="14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</row>
    <row r="193" spans="2:14" x14ac:dyDescent="0.3">
      <c r="B193" s="14"/>
      <c r="C193" s="14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</row>
    <row r="194" spans="2:14" x14ac:dyDescent="0.3">
      <c r="B194" s="14"/>
      <c r="C194" s="14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</row>
    <row r="195" spans="2:14" x14ac:dyDescent="0.3">
      <c r="B195" s="14"/>
      <c r="C195" s="14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</row>
    <row r="196" spans="2:14" x14ac:dyDescent="0.3">
      <c r="B196" s="14"/>
      <c r="C196" s="14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</row>
    <row r="197" spans="2:14" x14ac:dyDescent="0.3">
      <c r="B197" s="14"/>
      <c r="C197" s="14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</row>
    <row r="198" spans="2:14" x14ac:dyDescent="0.3">
      <c r="B198" s="14"/>
      <c r="C198" s="14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</row>
    <row r="199" spans="2:14" x14ac:dyDescent="0.3">
      <c r="B199" s="14"/>
      <c r="C199" s="14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</row>
    <row r="200" spans="2:14" x14ac:dyDescent="0.3">
      <c r="B200" s="14"/>
      <c r="C200" s="14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</row>
    <row r="201" spans="2:14" x14ac:dyDescent="0.3">
      <c r="B201" s="14"/>
      <c r="C201" s="14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</row>
    <row r="202" spans="2:14" x14ac:dyDescent="0.3">
      <c r="B202" s="14"/>
      <c r="C202" s="14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</row>
    <row r="203" spans="2:14" x14ac:dyDescent="0.3">
      <c r="B203" s="14"/>
      <c r="C203" s="14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</row>
    <row r="204" spans="2:14" x14ac:dyDescent="0.3">
      <c r="B204" s="14"/>
      <c r="C204" s="14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</row>
    <row r="205" spans="2:14" x14ac:dyDescent="0.3">
      <c r="B205" s="14"/>
      <c r="C205" s="14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</row>
    <row r="206" spans="2:14" x14ac:dyDescent="0.3">
      <c r="B206" s="14"/>
      <c r="C206" s="14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</row>
    <row r="207" spans="2:14" x14ac:dyDescent="0.3">
      <c r="B207" s="14"/>
      <c r="C207" s="14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</row>
    <row r="208" spans="2:14" x14ac:dyDescent="0.3">
      <c r="B208" s="14"/>
      <c r="C208" s="14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</row>
    <row r="209" spans="2:14" x14ac:dyDescent="0.3">
      <c r="B209" s="14"/>
      <c r="C209" s="14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</row>
    <row r="210" spans="2:14" x14ac:dyDescent="0.3">
      <c r="B210" s="14"/>
      <c r="C210" s="14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</row>
    <row r="211" spans="2:14" x14ac:dyDescent="0.3">
      <c r="B211" s="14"/>
      <c r="C211" s="14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</row>
    <row r="212" spans="2:14" x14ac:dyDescent="0.3">
      <c r="B212" s="14"/>
      <c r="C212" s="14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</row>
    <row r="213" spans="2:14" x14ac:dyDescent="0.3">
      <c r="B213" s="14"/>
      <c r="C213" s="14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</row>
    <row r="214" spans="2:14" x14ac:dyDescent="0.3">
      <c r="B214" s="14"/>
      <c r="C214" s="14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</row>
    <row r="215" spans="2:14" x14ac:dyDescent="0.3">
      <c r="B215" s="14"/>
      <c r="C215" s="14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</row>
    <row r="216" spans="2:14" x14ac:dyDescent="0.3">
      <c r="B216" s="14"/>
      <c r="C216" s="14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</row>
    <row r="217" spans="2:14" x14ac:dyDescent="0.3">
      <c r="B217" s="14"/>
      <c r="C217" s="14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</row>
    <row r="218" spans="2:14" x14ac:dyDescent="0.3">
      <c r="B218" s="14"/>
      <c r="C218" s="14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</row>
    <row r="219" spans="2:14" x14ac:dyDescent="0.3">
      <c r="B219" s="14"/>
      <c r="C219" s="14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</row>
    <row r="220" spans="2:14" x14ac:dyDescent="0.3">
      <c r="B220" s="14"/>
      <c r="C220" s="14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</row>
    <row r="221" spans="2:14" x14ac:dyDescent="0.3">
      <c r="B221" s="14"/>
      <c r="C221" s="14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</row>
    <row r="222" spans="2:14" x14ac:dyDescent="0.3">
      <c r="B222" s="14"/>
      <c r="C222" s="14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</row>
    <row r="223" spans="2:14" x14ac:dyDescent="0.3">
      <c r="B223" s="14"/>
      <c r="C223" s="14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</row>
    <row r="224" spans="2:14" x14ac:dyDescent="0.3">
      <c r="B224" s="14"/>
      <c r="C224" s="14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</row>
    <row r="225" spans="2:14" x14ac:dyDescent="0.3">
      <c r="B225" s="14"/>
      <c r="C225" s="14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</row>
    <row r="226" spans="2:14" x14ac:dyDescent="0.3">
      <c r="B226" s="14"/>
      <c r="C226" s="14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</row>
    <row r="227" spans="2:14" x14ac:dyDescent="0.3">
      <c r="B227" s="14"/>
      <c r="C227" s="14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</row>
    <row r="228" spans="2:14" x14ac:dyDescent="0.3">
      <c r="B228" s="14"/>
      <c r="C228" s="14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</row>
    <row r="229" spans="2:14" x14ac:dyDescent="0.3">
      <c r="B229" s="14"/>
      <c r="C229" s="14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</row>
    <row r="230" spans="2:14" x14ac:dyDescent="0.3">
      <c r="B230" s="14"/>
      <c r="C230" s="14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</row>
    <row r="231" spans="2:14" x14ac:dyDescent="0.3">
      <c r="B231" s="14"/>
      <c r="C231" s="14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</row>
    <row r="232" spans="2:14" x14ac:dyDescent="0.3">
      <c r="B232" s="14"/>
      <c r="C232" s="14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</row>
    <row r="233" spans="2:14" x14ac:dyDescent="0.3">
      <c r="B233" s="14"/>
      <c r="C233" s="14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</row>
    <row r="234" spans="2:14" x14ac:dyDescent="0.3">
      <c r="B234" s="14"/>
      <c r="C234" s="14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</row>
    <row r="235" spans="2:14" x14ac:dyDescent="0.3">
      <c r="B235" s="14"/>
      <c r="C235" s="14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</row>
    <row r="236" spans="2:14" x14ac:dyDescent="0.3">
      <c r="B236" s="14"/>
      <c r="C236" s="14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</row>
    <row r="237" spans="2:14" x14ac:dyDescent="0.3">
      <c r="B237" s="14"/>
      <c r="C237" s="14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</row>
    <row r="238" spans="2:14" x14ac:dyDescent="0.3">
      <c r="B238" s="14"/>
      <c r="C238" s="14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</row>
    <row r="239" spans="2:14" x14ac:dyDescent="0.3">
      <c r="B239" s="14"/>
      <c r="C239" s="14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</row>
    <row r="240" spans="2:14" x14ac:dyDescent="0.3">
      <c r="B240" s="14"/>
      <c r="C240" s="14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</row>
    <row r="241" spans="2:14" x14ac:dyDescent="0.3">
      <c r="B241" s="14"/>
      <c r="C241" s="14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</row>
    <row r="242" spans="2:14" x14ac:dyDescent="0.3">
      <c r="B242" s="14"/>
      <c r="C242" s="14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</row>
    <row r="243" spans="2:14" x14ac:dyDescent="0.3">
      <c r="B243" s="14"/>
      <c r="C243" s="14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</row>
    <row r="244" spans="2:14" x14ac:dyDescent="0.3">
      <c r="B244" s="14"/>
      <c r="C244" s="14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</row>
    <row r="245" spans="2:14" x14ac:dyDescent="0.3">
      <c r="B245" s="14"/>
      <c r="C245" s="14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</row>
    <row r="246" spans="2:14" x14ac:dyDescent="0.3">
      <c r="B246" s="14"/>
      <c r="C246" s="14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</row>
    <row r="247" spans="2:14" x14ac:dyDescent="0.3">
      <c r="B247" s="14"/>
      <c r="C247" s="14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</row>
    <row r="248" spans="2:14" x14ac:dyDescent="0.3">
      <c r="B248" s="14"/>
      <c r="C248" s="14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</row>
    <row r="249" spans="2:14" x14ac:dyDescent="0.3">
      <c r="B249" s="14"/>
      <c r="C249" s="14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</row>
    <row r="250" spans="2:14" x14ac:dyDescent="0.3">
      <c r="B250" s="14"/>
      <c r="C250" s="14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</row>
    <row r="251" spans="2:14" x14ac:dyDescent="0.3">
      <c r="B251" s="14"/>
      <c r="C251" s="14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</row>
    <row r="252" spans="2:14" x14ac:dyDescent="0.3">
      <c r="B252" s="14"/>
      <c r="C252" s="14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</row>
    <row r="253" spans="2:14" x14ac:dyDescent="0.3">
      <c r="B253" s="14"/>
      <c r="C253" s="14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</row>
    <row r="254" spans="2:14" x14ac:dyDescent="0.3">
      <c r="B254" s="14"/>
      <c r="C254" s="14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</row>
    <row r="255" spans="2:14" x14ac:dyDescent="0.3">
      <c r="B255" s="14"/>
      <c r="C255" s="14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</row>
    <row r="256" spans="2:14" x14ac:dyDescent="0.3">
      <c r="B256" s="14"/>
      <c r="C256" s="14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</row>
    <row r="257" spans="2:14" x14ac:dyDescent="0.3">
      <c r="B257" s="14"/>
      <c r="C257" s="14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</row>
    <row r="258" spans="2:14" x14ac:dyDescent="0.3">
      <c r="B258" s="14"/>
      <c r="C258" s="14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</row>
    <row r="259" spans="2:14" x14ac:dyDescent="0.3">
      <c r="B259" s="14"/>
      <c r="C259" s="14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</row>
    <row r="260" spans="2:14" x14ac:dyDescent="0.3">
      <c r="B260" s="14"/>
      <c r="C260" s="14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</row>
    <row r="261" spans="2:14" x14ac:dyDescent="0.3">
      <c r="B261" s="14"/>
      <c r="C261" s="14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</row>
    <row r="262" spans="2:14" x14ac:dyDescent="0.3">
      <c r="B262" s="14"/>
      <c r="C262" s="14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</row>
    <row r="263" spans="2:14" x14ac:dyDescent="0.3">
      <c r="B263" s="14"/>
      <c r="C263" s="14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</row>
    <row r="264" spans="2:14" x14ac:dyDescent="0.3">
      <c r="B264" s="14"/>
      <c r="C264" s="14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</row>
    <row r="265" spans="2:14" x14ac:dyDescent="0.3">
      <c r="B265" s="14"/>
      <c r="C265" s="14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</row>
    <row r="266" spans="2:14" x14ac:dyDescent="0.3">
      <c r="B266" s="14"/>
      <c r="C266" s="14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</row>
    <row r="267" spans="2:14" x14ac:dyDescent="0.3">
      <c r="B267" s="14"/>
      <c r="C267" s="14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</row>
    <row r="268" spans="2:14" x14ac:dyDescent="0.3">
      <c r="B268" s="14"/>
      <c r="C268" s="14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</row>
    <row r="269" spans="2:14" x14ac:dyDescent="0.3">
      <c r="B269" s="14"/>
      <c r="C269" s="14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</row>
    <row r="270" spans="2:14" x14ac:dyDescent="0.3">
      <c r="B270" s="14"/>
      <c r="C270" s="14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</row>
    <row r="271" spans="2:14" x14ac:dyDescent="0.3">
      <c r="B271" s="14"/>
      <c r="C271" s="14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</row>
    <row r="272" spans="2:14" x14ac:dyDescent="0.3">
      <c r="B272" s="14"/>
      <c r="C272" s="14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</row>
    <row r="273" spans="2:14" x14ac:dyDescent="0.3">
      <c r="B273" s="14"/>
      <c r="C273" s="14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</row>
    <row r="274" spans="2:14" x14ac:dyDescent="0.3">
      <c r="B274" s="14"/>
      <c r="C274" s="14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</row>
    <row r="275" spans="2:14" x14ac:dyDescent="0.3">
      <c r="B275" s="14"/>
      <c r="C275" s="14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</row>
    <row r="276" spans="2:14" x14ac:dyDescent="0.3">
      <c r="B276" s="14"/>
      <c r="C276" s="14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</row>
    <row r="277" spans="2:14" x14ac:dyDescent="0.3">
      <c r="B277" s="14"/>
      <c r="C277" s="14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</row>
    <row r="278" spans="2:14" x14ac:dyDescent="0.3">
      <c r="B278" s="14"/>
      <c r="C278" s="14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</row>
    <row r="279" spans="2:14" x14ac:dyDescent="0.3">
      <c r="B279" s="14"/>
      <c r="C279" s="14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</row>
    <row r="280" spans="2:14" x14ac:dyDescent="0.3">
      <c r="B280" s="14"/>
      <c r="C280" s="14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</row>
    <row r="281" spans="2:14" x14ac:dyDescent="0.3">
      <c r="B281" s="14"/>
      <c r="C281" s="14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</row>
    <row r="282" spans="2:14" x14ac:dyDescent="0.3">
      <c r="B282" s="14"/>
      <c r="C282" s="14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</row>
    <row r="283" spans="2:14" x14ac:dyDescent="0.3">
      <c r="B283" s="14"/>
      <c r="C283" s="14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</row>
    <row r="284" spans="2:14" x14ac:dyDescent="0.3">
      <c r="B284" s="14"/>
      <c r="C284" s="14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</row>
    <row r="285" spans="2:14" x14ac:dyDescent="0.3">
      <c r="B285" s="14"/>
      <c r="C285" s="14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</row>
    <row r="286" spans="2:14" x14ac:dyDescent="0.3">
      <c r="B286" s="14"/>
      <c r="C286" s="14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</row>
    <row r="287" spans="2:14" x14ac:dyDescent="0.3">
      <c r="B287" s="14"/>
      <c r="C287" s="14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</row>
    <row r="288" spans="2:14" x14ac:dyDescent="0.3">
      <c r="B288" s="14"/>
      <c r="C288" s="14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</row>
    <row r="289" spans="2:14" x14ac:dyDescent="0.3">
      <c r="B289" s="14"/>
      <c r="C289" s="14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</row>
    <row r="290" spans="2:14" x14ac:dyDescent="0.3">
      <c r="B290" s="14"/>
      <c r="C290" s="14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</row>
    <row r="291" spans="2:14" x14ac:dyDescent="0.3">
      <c r="B291" s="14"/>
      <c r="C291" s="14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</row>
    <row r="292" spans="2:14" x14ac:dyDescent="0.3">
      <c r="B292" s="14"/>
      <c r="C292" s="14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</row>
    <row r="293" spans="2:14" x14ac:dyDescent="0.3">
      <c r="B293" s="14"/>
      <c r="C293" s="14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</row>
    <row r="294" spans="2:14" x14ac:dyDescent="0.3">
      <c r="B294" s="14"/>
      <c r="C294" s="14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</row>
    <row r="295" spans="2:14" x14ac:dyDescent="0.3">
      <c r="B295" s="14"/>
      <c r="C295" s="14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</row>
    <row r="296" spans="2:14" x14ac:dyDescent="0.3">
      <c r="B296" s="14"/>
      <c r="C296" s="14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</row>
    <row r="297" spans="2:14" x14ac:dyDescent="0.3">
      <c r="B297" s="14"/>
      <c r="C297" s="14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</row>
    <row r="298" spans="2:14" x14ac:dyDescent="0.3">
      <c r="B298" s="14"/>
      <c r="C298" s="14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</row>
    <row r="299" spans="2:14" x14ac:dyDescent="0.3">
      <c r="B299" s="14"/>
      <c r="C299" s="14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</row>
    <row r="300" spans="2:14" x14ac:dyDescent="0.3">
      <c r="B300" s="14"/>
      <c r="C300" s="14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</row>
    <row r="301" spans="2:14" x14ac:dyDescent="0.3">
      <c r="B301" s="14"/>
      <c r="C301" s="14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</row>
    <row r="302" spans="2:14" x14ac:dyDescent="0.3">
      <c r="B302" s="14"/>
      <c r="C302" s="14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</row>
    <row r="303" spans="2:14" x14ac:dyDescent="0.3">
      <c r="B303" s="14"/>
      <c r="C303" s="14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</row>
    <row r="304" spans="2:14" x14ac:dyDescent="0.3">
      <c r="B304" s="14"/>
      <c r="C304" s="14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</row>
    <row r="305" spans="2:14" x14ac:dyDescent="0.3">
      <c r="B305" s="14"/>
      <c r="C305" s="14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</row>
    <row r="306" spans="2:14" x14ac:dyDescent="0.3">
      <c r="B306" s="14"/>
      <c r="C306" s="14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</row>
    <row r="307" spans="2:14" x14ac:dyDescent="0.3">
      <c r="B307" s="14"/>
      <c r="C307" s="14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</row>
    <row r="308" spans="2:14" x14ac:dyDescent="0.3">
      <c r="B308" s="14"/>
      <c r="C308" s="14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</row>
    <row r="309" spans="2:14" x14ac:dyDescent="0.3">
      <c r="B309" s="14"/>
      <c r="C309" s="14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</row>
    <row r="310" spans="2:14" x14ac:dyDescent="0.3">
      <c r="B310" s="14"/>
      <c r="C310" s="14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</row>
    <row r="311" spans="2:14" x14ac:dyDescent="0.3">
      <c r="B311" s="14"/>
      <c r="C311" s="14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</row>
    <row r="312" spans="2:14" x14ac:dyDescent="0.3">
      <c r="B312" s="14"/>
      <c r="C312" s="14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</row>
    <row r="313" spans="2:14" x14ac:dyDescent="0.3">
      <c r="B313" s="14"/>
      <c r="C313" s="14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</row>
    <row r="314" spans="2:14" x14ac:dyDescent="0.3">
      <c r="B314" s="14"/>
      <c r="C314" s="14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</row>
    <row r="315" spans="2:14" x14ac:dyDescent="0.3">
      <c r="B315" s="14"/>
      <c r="C315" s="14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</row>
    <row r="316" spans="2:14" x14ac:dyDescent="0.3">
      <c r="B316" s="14"/>
      <c r="C316" s="14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</row>
    <row r="317" spans="2:14" x14ac:dyDescent="0.3">
      <c r="B317" s="14"/>
      <c r="C317" s="14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</row>
    <row r="318" spans="2:14" x14ac:dyDescent="0.3">
      <c r="B318" s="14"/>
      <c r="C318" s="14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</row>
    <row r="319" spans="2:14" x14ac:dyDescent="0.3">
      <c r="B319" s="14"/>
      <c r="C319" s="14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</row>
    <row r="320" spans="2:14" x14ac:dyDescent="0.3">
      <c r="B320" s="14"/>
      <c r="C320" s="14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</row>
    <row r="321" spans="2:14" x14ac:dyDescent="0.3">
      <c r="B321" s="14"/>
      <c r="C321" s="14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</row>
    <row r="322" spans="2:14" x14ac:dyDescent="0.3">
      <c r="B322" s="14"/>
      <c r="C322" s="14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</row>
    <row r="323" spans="2:14" x14ac:dyDescent="0.3">
      <c r="B323" s="14"/>
      <c r="C323" s="14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</row>
    <row r="324" spans="2:14" x14ac:dyDescent="0.3">
      <c r="B324" s="14"/>
      <c r="C324" s="14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</row>
    <row r="325" spans="2:14" x14ac:dyDescent="0.3">
      <c r="B325" s="14"/>
      <c r="C325" s="14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</row>
    <row r="326" spans="2:14" x14ac:dyDescent="0.3">
      <c r="B326" s="14"/>
      <c r="C326" s="14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</row>
    <row r="327" spans="2:14" x14ac:dyDescent="0.3">
      <c r="B327" s="14"/>
      <c r="C327" s="14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</row>
    <row r="328" spans="2:14" x14ac:dyDescent="0.3">
      <c r="B328" s="14"/>
      <c r="C328" s="14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</row>
    <row r="329" spans="2:14" x14ac:dyDescent="0.3">
      <c r="B329" s="14"/>
      <c r="C329" s="14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</row>
    <row r="330" spans="2:14" x14ac:dyDescent="0.3">
      <c r="B330" s="14"/>
      <c r="C330" s="14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</row>
    <row r="331" spans="2:14" x14ac:dyDescent="0.3">
      <c r="B331" s="14"/>
      <c r="C331" s="14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</row>
    <row r="332" spans="2:14" x14ac:dyDescent="0.3">
      <c r="B332" s="14"/>
      <c r="C332" s="14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</row>
    <row r="333" spans="2:14" x14ac:dyDescent="0.3">
      <c r="B333" s="14"/>
      <c r="C333" s="14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</row>
    <row r="334" spans="2:14" x14ac:dyDescent="0.3">
      <c r="B334" s="14"/>
      <c r="C334" s="14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</row>
    <row r="335" spans="2:14" x14ac:dyDescent="0.3">
      <c r="B335" s="14"/>
      <c r="C335" s="14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</row>
    <row r="336" spans="2:14" x14ac:dyDescent="0.3">
      <c r="B336" s="14"/>
      <c r="C336" s="14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</row>
    <row r="337" spans="2:14" x14ac:dyDescent="0.3">
      <c r="B337" s="14"/>
      <c r="C337" s="14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</row>
    <row r="338" spans="2:14" x14ac:dyDescent="0.3">
      <c r="B338" s="14"/>
      <c r="C338" s="14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</row>
    <row r="339" spans="2:14" x14ac:dyDescent="0.3">
      <c r="B339" s="14"/>
      <c r="C339" s="14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</row>
    <row r="340" spans="2:14" x14ac:dyDescent="0.3">
      <c r="B340" s="14"/>
      <c r="C340" s="14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</row>
    <row r="341" spans="2:14" x14ac:dyDescent="0.3">
      <c r="B341" s="14"/>
      <c r="C341" s="14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</row>
    <row r="342" spans="2:14" x14ac:dyDescent="0.3">
      <c r="B342" s="14"/>
      <c r="C342" s="14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</row>
    <row r="343" spans="2:14" x14ac:dyDescent="0.3">
      <c r="B343" s="14"/>
      <c r="C343" s="14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</row>
    <row r="344" spans="2:14" x14ac:dyDescent="0.3">
      <c r="B344" s="14"/>
      <c r="C344" s="14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</row>
    <row r="345" spans="2:14" x14ac:dyDescent="0.3">
      <c r="B345" s="14"/>
      <c r="C345" s="14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</row>
    <row r="346" spans="2:14" x14ac:dyDescent="0.3">
      <c r="B346" s="14"/>
      <c r="C346" s="14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</row>
    <row r="347" spans="2:14" x14ac:dyDescent="0.3">
      <c r="B347" s="14"/>
      <c r="C347" s="14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</row>
    <row r="348" spans="2:14" x14ac:dyDescent="0.3">
      <c r="B348" s="14"/>
      <c r="C348" s="14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</row>
    <row r="349" spans="2:14" x14ac:dyDescent="0.3">
      <c r="B349" s="14"/>
      <c r="C349" s="14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</row>
    <row r="350" spans="2:14" x14ac:dyDescent="0.3">
      <c r="B350" s="14"/>
      <c r="C350" s="14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</row>
    <row r="351" spans="2:14" x14ac:dyDescent="0.3">
      <c r="B351" s="14"/>
      <c r="C351" s="14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</row>
    <row r="352" spans="2:14" x14ac:dyDescent="0.3">
      <c r="B352" s="14"/>
      <c r="C352" s="14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</row>
    <row r="353" spans="2:14" x14ac:dyDescent="0.3">
      <c r="B353" s="14"/>
      <c r="C353" s="14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</row>
    <row r="354" spans="2:14" x14ac:dyDescent="0.3">
      <c r="B354" s="14"/>
      <c r="C354" s="14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</row>
    <row r="355" spans="2:14" x14ac:dyDescent="0.3">
      <c r="B355" s="14"/>
      <c r="C355" s="14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</row>
    <row r="356" spans="2:14" x14ac:dyDescent="0.3">
      <c r="B356" s="14"/>
      <c r="C356" s="14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</row>
    <row r="357" spans="2:14" x14ac:dyDescent="0.3">
      <c r="B357" s="14"/>
      <c r="C357" s="14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</row>
    <row r="358" spans="2:14" x14ac:dyDescent="0.3">
      <c r="B358" s="14"/>
      <c r="C358" s="14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</row>
    <row r="359" spans="2:14" x14ac:dyDescent="0.3">
      <c r="B359" s="14"/>
      <c r="C359" s="14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</row>
    <row r="360" spans="2:14" x14ac:dyDescent="0.3">
      <c r="B360" s="14"/>
      <c r="C360" s="14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</row>
    <row r="361" spans="2:14" x14ac:dyDescent="0.3">
      <c r="B361" s="14"/>
      <c r="C361" s="14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</row>
    <row r="362" spans="2:14" x14ac:dyDescent="0.3">
      <c r="B362" s="14"/>
      <c r="C362" s="14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</row>
    <row r="363" spans="2:14" x14ac:dyDescent="0.3">
      <c r="B363" s="14"/>
      <c r="C363" s="14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</row>
    <row r="364" spans="2:14" x14ac:dyDescent="0.3">
      <c r="B364" s="14"/>
      <c r="C364" s="14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</row>
    <row r="365" spans="2:14" x14ac:dyDescent="0.3">
      <c r="B365" s="14"/>
      <c r="C365" s="14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</row>
    <row r="366" spans="2:14" x14ac:dyDescent="0.3">
      <c r="B366" s="14"/>
      <c r="C366" s="14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</row>
    <row r="367" spans="2:14" x14ac:dyDescent="0.3">
      <c r="B367" s="14"/>
      <c r="C367" s="14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</row>
    <row r="368" spans="2:14" x14ac:dyDescent="0.3">
      <c r="B368" s="14"/>
      <c r="C368" s="14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</row>
    <row r="369" spans="2:14" x14ac:dyDescent="0.3">
      <c r="B369" s="14"/>
      <c r="C369" s="14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</row>
    <row r="370" spans="2:14" x14ac:dyDescent="0.3">
      <c r="B370" s="14"/>
      <c r="C370" s="14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</row>
    <row r="371" spans="2:14" x14ac:dyDescent="0.3">
      <c r="B371" s="14"/>
      <c r="C371" s="14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</row>
    <row r="372" spans="2:14" x14ac:dyDescent="0.3">
      <c r="B372" s="14"/>
      <c r="C372" s="14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</row>
    <row r="373" spans="2:14" x14ac:dyDescent="0.3">
      <c r="B373" s="14"/>
      <c r="C373" s="14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</row>
    <row r="374" spans="2:14" x14ac:dyDescent="0.3">
      <c r="B374" s="14"/>
      <c r="C374" s="14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</row>
    <row r="375" spans="2:14" x14ac:dyDescent="0.3">
      <c r="B375" s="14"/>
      <c r="C375" s="14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</row>
    <row r="376" spans="2:14" x14ac:dyDescent="0.3">
      <c r="B376" s="14"/>
      <c r="C376" s="14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</row>
    <row r="377" spans="2:14" x14ac:dyDescent="0.3">
      <c r="B377" s="14"/>
      <c r="C377" s="14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</row>
    <row r="378" spans="2:14" x14ac:dyDescent="0.3">
      <c r="B378" s="14"/>
      <c r="C378" s="14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</row>
    <row r="379" spans="2:14" x14ac:dyDescent="0.3">
      <c r="B379" s="14"/>
      <c r="C379" s="14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</row>
    <row r="380" spans="2:14" x14ac:dyDescent="0.3">
      <c r="B380" s="14"/>
      <c r="C380" s="14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</row>
    <row r="381" spans="2:14" x14ac:dyDescent="0.3">
      <c r="B381" s="14"/>
      <c r="C381" s="14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</row>
    <row r="382" spans="2:14" x14ac:dyDescent="0.3">
      <c r="B382" s="14"/>
      <c r="C382" s="14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</row>
    <row r="383" spans="2:14" x14ac:dyDescent="0.3">
      <c r="B383" s="14"/>
      <c r="C383" s="14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</row>
    <row r="384" spans="2:14" x14ac:dyDescent="0.3">
      <c r="B384" s="14"/>
      <c r="C384" s="14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</row>
    <row r="385" spans="2:14" x14ac:dyDescent="0.3">
      <c r="B385" s="14"/>
      <c r="C385" s="14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</row>
    <row r="386" spans="2:14" x14ac:dyDescent="0.3">
      <c r="B386" s="14"/>
      <c r="C386" s="14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</row>
    <row r="387" spans="2:14" x14ac:dyDescent="0.3">
      <c r="B387" s="14"/>
      <c r="C387" s="14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</row>
    <row r="388" spans="2:14" x14ac:dyDescent="0.3">
      <c r="B388" s="14"/>
      <c r="C388" s="14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</row>
    <row r="389" spans="2:14" x14ac:dyDescent="0.3">
      <c r="B389" s="14"/>
      <c r="C389" s="14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</row>
    <row r="390" spans="2:14" x14ac:dyDescent="0.3">
      <c r="B390" s="14"/>
      <c r="C390" s="14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</row>
    <row r="391" spans="2:14" x14ac:dyDescent="0.3">
      <c r="B391" s="14"/>
      <c r="C391" s="14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</row>
    <row r="392" spans="2:14" x14ac:dyDescent="0.3">
      <c r="B392" s="14"/>
      <c r="C392" s="14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</row>
    <row r="393" spans="2:14" x14ac:dyDescent="0.3">
      <c r="B393" s="14"/>
      <c r="C393" s="14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</row>
    <row r="394" spans="2:14" x14ac:dyDescent="0.3">
      <c r="B394" s="14"/>
      <c r="C394" s="14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</row>
    <row r="395" spans="2:14" x14ac:dyDescent="0.3">
      <c r="B395" s="14"/>
      <c r="C395" s="14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</row>
    <row r="396" spans="2:14" x14ac:dyDescent="0.3">
      <c r="B396" s="14"/>
      <c r="C396" s="14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</row>
    <row r="397" spans="2:14" x14ac:dyDescent="0.3">
      <c r="B397" s="14"/>
      <c r="C397" s="14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</row>
    <row r="398" spans="2:14" x14ac:dyDescent="0.3">
      <c r="B398" s="14"/>
      <c r="C398" s="14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</row>
    <row r="399" spans="2:14" x14ac:dyDescent="0.3">
      <c r="B399" s="14"/>
      <c r="C399" s="14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</row>
    <row r="400" spans="2:14" x14ac:dyDescent="0.3">
      <c r="B400" s="14"/>
      <c r="C400" s="14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</row>
    <row r="401" spans="2:14" x14ac:dyDescent="0.3">
      <c r="B401" s="14"/>
      <c r="C401" s="14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</row>
    <row r="402" spans="2:14" x14ac:dyDescent="0.3">
      <c r="B402" s="14"/>
      <c r="C402" s="14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</row>
    <row r="403" spans="2:14" x14ac:dyDescent="0.3">
      <c r="B403" s="14"/>
      <c r="C403" s="14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</row>
    <row r="404" spans="2:14" x14ac:dyDescent="0.3">
      <c r="B404" s="14"/>
      <c r="C404" s="14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</row>
    <row r="405" spans="2:14" x14ac:dyDescent="0.3">
      <c r="B405" s="14"/>
      <c r="C405" s="14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</row>
    <row r="406" spans="2:14" x14ac:dyDescent="0.3">
      <c r="B406" s="14"/>
      <c r="C406" s="14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</row>
    <row r="407" spans="2:14" x14ac:dyDescent="0.3">
      <c r="B407" s="14"/>
      <c r="C407" s="14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</row>
    <row r="408" spans="2:14" x14ac:dyDescent="0.3">
      <c r="B408" s="14"/>
      <c r="C408" s="14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</row>
    <row r="409" spans="2:14" x14ac:dyDescent="0.3">
      <c r="B409" s="14"/>
      <c r="C409" s="14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</row>
    <row r="410" spans="2:14" x14ac:dyDescent="0.3">
      <c r="B410" s="14"/>
      <c r="C410" s="14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</row>
    <row r="411" spans="2:14" x14ac:dyDescent="0.3">
      <c r="B411" s="14"/>
      <c r="C411" s="14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</row>
    <row r="412" spans="2:14" x14ac:dyDescent="0.3">
      <c r="B412" s="14"/>
      <c r="C412" s="14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</row>
    <row r="413" spans="2:14" x14ac:dyDescent="0.3">
      <c r="B413" s="14"/>
      <c r="C413" s="14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</row>
    <row r="414" spans="2:14" x14ac:dyDescent="0.3">
      <c r="B414" s="14"/>
      <c r="C414" s="14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</row>
    <row r="415" spans="2:14" x14ac:dyDescent="0.3">
      <c r="B415" s="14"/>
      <c r="C415" s="14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</row>
    <row r="416" spans="2:14" x14ac:dyDescent="0.3">
      <c r="B416" s="14"/>
      <c r="C416" s="14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</row>
    <row r="417" spans="2:14" x14ac:dyDescent="0.3">
      <c r="B417" s="14"/>
      <c r="C417" s="14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</row>
    <row r="418" spans="2:14" x14ac:dyDescent="0.3">
      <c r="B418" s="14"/>
      <c r="C418" s="14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</row>
    <row r="419" spans="2:14" x14ac:dyDescent="0.3">
      <c r="B419" s="14"/>
      <c r="C419" s="14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</row>
    <row r="420" spans="2:14" x14ac:dyDescent="0.3">
      <c r="B420" s="14"/>
      <c r="C420" s="14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</row>
    <row r="421" spans="2:14" x14ac:dyDescent="0.3">
      <c r="B421" s="14"/>
      <c r="C421" s="14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</row>
    <row r="422" spans="2:14" x14ac:dyDescent="0.3">
      <c r="B422" s="14"/>
      <c r="C422" s="14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</row>
    <row r="423" spans="2:14" x14ac:dyDescent="0.3">
      <c r="B423" s="14"/>
      <c r="C423" s="14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</row>
    <row r="424" spans="2:14" x14ac:dyDescent="0.3">
      <c r="B424" s="14"/>
      <c r="C424" s="14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</row>
    <row r="425" spans="2:14" x14ac:dyDescent="0.3">
      <c r="B425" s="14"/>
      <c r="C425" s="14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</row>
    <row r="426" spans="2:14" x14ac:dyDescent="0.3">
      <c r="B426" s="14"/>
      <c r="C426" s="14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</row>
    <row r="427" spans="2:14" x14ac:dyDescent="0.3">
      <c r="B427" s="14"/>
      <c r="C427" s="14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</row>
    <row r="428" spans="2:14" x14ac:dyDescent="0.3">
      <c r="B428" s="14"/>
      <c r="C428" s="14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</row>
    <row r="429" spans="2:14" x14ac:dyDescent="0.3">
      <c r="B429" s="14"/>
      <c r="C429" s="14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</row>
    <row r="430" spans="2:14" x14ac:dyDescent="0.3">
      <c r="B430" s="14"/>
      <c r="C430" s="14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</row>
    <row r="431" spans="2:14" x14ac:dyDescent="0.3">
      <c r="B431" s="14"/>
      <c r="C431" s="14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</row>
    <row r="432" spans="2:14" x14ac:dyDescent="0.3">
      <c r="B432" s="14"/>
      <c r="C432" s="14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</row>
    <row r="433" spans="2:14" x14ac:dyDescent="0.3">
      <c r="B433" s="14"/>
      <c r="C433" s="14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</row>
    <row r="434" spans="2:14" x14ac:dyDescent="0.3">
      <c r="B434" s="14"/>
      <c r="C434" s="14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</row>
    <row r="435" spans="2:14" x14ac:dyDescent="0.3">
      <c r="B435" s="14"/>
      <c r="C435" s="14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</row>
    <row r="436" spans="2:14" x14ac:dyDescent="0.3">
      <c r="B436" s="14"/>
      <c r="C436" s="14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</row>
    <row r="437" spans="2:14" x14ac:dyDescent="0.3">
      <c r="B437" s="14"/>
      <c r="C437" s="14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</row>
    <row r="438" spans="2:14" x14ac:dyDescent="0.3">
      <c r="B438" s="14"/>
      <c r="C438" s="14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</row>
    <row r="439" spans="2:14" x14ac:dyDescent="0.3">
      <c r="B439" s="14"/>
      <c r="C439" s="14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</row>
    <row r="440" spans="2:14" x14ac:dyDescent="0.3">
      <c r="B440" s="14"/>
      <c r="C440" s="14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</row>
    <row r="441" spans="2:14" x14ac:dyDescent="0.3">
      <c r="B441" s="14"/>
      <c r="C441" s="14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</row>
    <row r="442" spans="2:14" x14ac:dyDescent="0.3">
      <c r="B442" s="14"/>
      <c r="C442" s="14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</row>
    <row r="443" spans="2:14" x14ac:dyDescent="0.3">
      <c r="B443" s="14"/>
      <c r="C443" s="14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</row>
    <row r="444" spans="2:14" x14ac:dyDescent="0.3">
      <c r="B444" s="14"/>
      <c r="C444" s="14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</row>
    <row r="445" spans="2:14" x14ac:dyDescent="0.3">
      <c r="B445" s="14"/>
      <c r="C445" s="14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</row>
    <row r="446" spans="2:14" x14ac:dyDescent="0.3">
      <c r="B446" s="14"/>
      <c r="C446" s="14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</row>
    <row r="447" spans="2:14" x14ac:dyDescent="0.3">
      <c r="B447" s="14"/>
      <c r="C447" s="14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</row>
    <row r="448" spans="2:14" x14ac:dyDescent="0.3">
      <c r="B448" s="14"/>
      <c r="C448" s="14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</row>
    <row r="449" spans="2:14" x14ac:dyDescent="0.3">
      <c r="B449" s="14"/>
      <c r="C449" s="14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</row>
    <row r="450" spans="2:14" x14ac:dyDescent="0.3">
      <c r="B450" s="14"/>
      <c r="C450" s="14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</row>
    <row r="451" spans="2:14" x14ac:dyDescent="0.3">
      <c r="B451" s="14"/>
      <c r="C451" s="14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</row>
    <row r="452" spans="2:14" x14ac:dyDescent="0.3">
      <c r="B452" s="14"/>
      <c r="C452" s="14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</row>
    <row r="453" spans="2:14" x14ac:dyDescent="0.3">
      <c r="B453" s="14"/>
      <c r="C453" s="14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</row>
    <row r="454" spans="2:14" x14ac:dyDescent="0.3">
      <c r="B454" s="14"/>
      <c r="C454" s="14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</row>
    <row r="455" spans="2:14" x14ac:dyDescent="0.3">
      <c r="B455" s="14"/>
      <c r="C455" s="14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</row>
    <row r="456" spans="2:14" x14ac:dyDescent="0.3">
      <c r="B456" s="14"/>
      <c r="C456" s="14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</row>
    <row r="457" spans="2:14" x14ac:dyDescent="0.3">
      <c r="B457" s="14"/>
      <c r="C457" s="14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</row>
    <row r="458" spans="2:14" x14ac:dyDescent="0.3">
      <c r="B458" s="14"/>
      <c r="C458" s="14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</row>
    <row r="459" spans="2:14" x14ac:dyDescent="0.3">
      <c r="B459" s="14"/>
      <c r="C459" s="14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</row>
    <row r="460" spans="2:14" x14ac:dyDescent="0.3">
      <c r="B460" s="14"/>
      <c r="C460" s="14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</row>
    <row r="461" spans="2:14" x14ac:dyDescent="0.3">
      <c r="B461" s="14"/>
      <c r="C461" s="14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</row>
    <row r="462" spans="2:14" x14ac:dyDescent="0.3">
      <c r="B462" s="14"/>
      <c r="C462" s="14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</row>
    <row r="463" spans="2:14" x14ac:dyDescent="0.3">
      <c r="B463" s="14"/>
      <c r="C463" s="14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</row>
    <row r="464" spans="2:14" x14ac:dyDescent="0.3">
      <c r="B464" s="14"/>
      <c r="C464" s="14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</row>
    <row r="465" spans="2:14" x14ac:dyDescent="0.3">
      <c r="B465" s="14"/>
      <c r="C465" s="14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</row>
    <row r="466" spans="2:14" x14ac:dyDescent="0.3">
      <c r="B466" s="14"/>
      <c r="C466" s="14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</row>
    <row r="467" spans="2:14" x14ac:dyDescent="0.3">
      <c r="B467" s="14"/>
      <c r="C467" s="14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</row>
    <row r="468" spans="2:14" x14ac:dyDescent="0.3">
      <c r="B468" s="14"/>
      <c r="C468" s="14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</row>
    <row r="469" spans="2:14" x14ac:dyDescent="0.3">
      <c r="B469" s="14"/>
      <c r="C469" s="14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</row>
    <row r="470" spans="2:14" x14ac:dyDescent="0.3">
      <c r="B470" s="14"/>
      <c r="C470" s="14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</row>
    <row r="471" spans="2:14" x14ac:dyDescent="0.3">
      <c r="B471" s="14"/>
      <c r="C471" s="14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</row>
    <row r="472" spans="2:14" x14ac:dyDescent="0.3">
      <c r="B472" s="14"/>
      <c r="C472" s="14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</row>
    <row r="473" spans="2:14" x14ac:dyDescent="0.3">
      <c r="B473" s="14"/>
      <c r="C473" s="14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</row>
    <row r="474" spans="2:14" x14ac:dyDescent="0.3">
      <c r="B474" s="14"/>
      <c r="C474" s="14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</row>
    <row r="475" spans="2:14" x14ac:dyDescent="0.3">
      <c r="B475" s="14"/>
      <c r="C475" s="14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</row>
    <row r="476" spans="2:14" x14ac:dyDescent="0.3">
      <c r="B476" s="14"/>
      <c r="C476" s="14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</row>
    <row r="477" spans="2:14" x14ac:dyDescent="0.3">
      <c r="B477" s="14"/>
      <c r="C477" s="14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</row>
    <row r="478" spans="2:14" x14ac:dyDescent="0.3">
      <c r="B478" s="14"/>
      <c r="C478" s="14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</row>
    <row r="479" spans="2:14" x14ac:dyDescent="0.3">
      <c r="B479" s="14"/>
      <c r="C479" s="14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</row>
    <row r="480" spans="2:14" x14ac:dyDescent="0.3">
      <c r="B480" s="14"/>
      <c r="C480" s="14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</row>
    <row r="481" spans="2:14" x14ac:dyDescent="0.3">
      <c r="B481" s="14"/>
      <c r="C481" s="14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</row>
    <row r="482" spans="2:14" x14ac:dyDescent="0.3">
      <c r="B482" s="14"/>
      <c r="C482" s="14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</row>
    <row r="483" spans="2:14" x14ac:dyDescent="0.3">
      <c r="B483" s="14"/>
      <c r="C483" s="14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</row>
    <row r="484" spans="2:14" x14ac:dyDescent="0.3">
      <c r="B484" s="14"/>
      <c r="C484" s="14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</row>
    <row r="485" spans="2:14" x14ac:dyDescent="0.3">
      <c r="B485" s="14"/>
      <c r="C485" s="14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</row>
    <row r="486" spans="2:14" x14ac:dyDescent="0.3">
      <c r="B486" s="14"/>
      <c r="C486" s="14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</row>
    <row r="487" spans="2:14" x14ac:dyDescent="0.3">
      <c r="B487" s="14"/>
      <c r="C487" s="14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</row>
    <row r="488" spans="2:14" x14ac:dyDescent="0.3">
      <c r="B488" s="14"/>
      <c r="C488" s="14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</row>
    <row r="489" spans="2:14" x14ac:dyDescent="0.3">
      <c r="B489" s="14"/>
      <c r="C489" s="14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</row>
    <row r="490" spans="2:14" x14ac:dyDescent="0.3">
      <c r="B490" s="14"/>
      <c r="C490" s="14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</row>
    <row r="491" spans="2:14" x14ac:dyDescent="0.3">
      <c r="B491" s="14"/>
      <c r="C491" s="14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</row>
    <row r="492" spans="2:14" x14ac:dyDescent="0.3">
      <c r="B492" s="14"/>
      <c r="C492" s="14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</row>
    <row r="493" spans="2:14" x14ac:dyDescent="0.3">
      <c r="B493" s="14"/>
      <c r="C493" s="14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</row>
    <row r="494" spans="2:14" x14ac:dyDescent="0.3">
      <c r="B494" s="14"/>
      <c r="C494" s="14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</row>
    <row r="495" spans="2:14" x14ac:dyDescent="0.3">
      <c r="B495" s="14"/>
      <c r="C495" s="14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</row>
    <row r="496" spans="2:14" x14ac:dyDescent="0.3">
      <c r="B496" s="14"/>
      <c r="C496" s="14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</row>
    <row r="497" spans="2:14" x14ac:dyDescent="0.3">
      <c r="B497" s="14"/>
      <c r="C497" s="14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</row>
    <row r="498" spans="2:14" x14ac:dyDescent="0.3">
      <c r="B498" s="14"/>
      <c r="C498" s="14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</row>
    <row r="499" spans="2:14" x14ac:dyDescent="0.3">
      <c r="B499" s="14"/>
      <c r="C499" s="14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</row>
    <row r="500" spans="2:14" x14ac:dyDescent="0.3">
      <c r="B500" s="14"/>
      <c r="C500" s="14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</row>
    <row r="501" spans="2:14" x14ac:dyDescent="0.3">
      <c r="B501" s="14"/>
      <c r="C501" s="14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</row>
    <row r="502" spans="2:14" x14ac:dyDescent="0.3">
      <c r="B502" s="14"/>
      <c r="C502" s="14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</row>
    <row r="503" spans="2:14" x14ac:dyDescent="0.3">
      <c r="B503" s="14"/>
      <c r="C503" s="14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</row>
    <row r="504" spans="2:14" x14ac:dyDescent="0.3">
      <c r="B504" s="14"/>
      <c r="C504" s="14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</row>
    <row r="505" spans="2:14" x14ac:dyDescent="0.3">
      <c r="B505" s="14"/>
      <c r="C505" s="14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</row>
    <row r="506" spans="2:14" x14ac:dyDescent="0.3">
      <c r="B506" s="14"/>
      <c r="C506" s="14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</row>
    <row r="507" spans="2:14" x14ac:dyDescent="0.3">
      <c r="B507" s="14"/>
      <c r="C507" s="14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</row>
    <row r="508" spans="2:14" x14ac:dyDescent="0.3">
      <c r="B508" s="14"/>
      <c r="C508" s="14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</row>
    <row r="509" spans="2:14" x14ac:dyDescent="0.3">
      <c r="B509" s="14"/>
      <c r="C509" s="14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</row>
    <row r="510" spans="2:14" x14ac:dyDescent="0.3">
      <c r="B510" s="14"/>
      <c r="C510" s="14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</row>
    <row r="511" spans="2:14" x14ac:dyDescent="0.3">
      <c r="B511" s="14"/>
      <c r="C511" s="14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</row>
    <row r="512" spans="2:14" x14ac:dyDescent="0.3">
      <c r="B512" s="14"/>
      <c r="C512" s="14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</row>
    <row r="513" spans="2:14" x14ac:dyDescent="0.3">
      <c r="B513" s="14"/>
      <c r="C513" s="14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</row>
    <row r="514" spans="2:14" x14ac:dyDescent="0.3">
      <c r="B514" s="14"/>
      <c r="C514" s="14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</row>
    <row r="515" spans="2:14" x14ac:dyDescent="0.3">
      <c r="B515" s="14"/>
      <c r="C515" s="14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</row>
    <row r="516" spans="2:14" x14ac:dyDescent="0.3">
      <c r="B516" s="14"/>
      <c r="C516" s="14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</row>
    <row r="517" spans="2:14" x14ac:dyDescent="0.3">
      <c r="B517" s="14"/>
      <c r="C517" s="14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</row>
    <row r="518" spans="2:14" x14ac:dyDescent="0.3">
      <c r="B518" s="14"/>
      <c r="C518" s="14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</row>
    <row r="519" spans="2:14" x14ac:dyDescent="0.3">
      <c r="B519" s="14"/>
      <c r="C519" s="14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</row>
    <row r="520" spans="2:14" x14ac:dyDescent="0.3">
      <c r="B520" s="14"/>
      <c r="C520" s="14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</row>
    <row r="521" spans="2:14" x14ac:dyDescent="0.3">
      <c r="B521" s="14"/>
      <c r="C521" s="14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</row>
    <row r="522" spans="2:14" x14ac:dyDescent="0.3">
      <c r="B522" s="14"/>
      <c r="C522" s="14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</row>
    <row r="523" spans="2:14" x14ac:dyDescent="0.3">
      <c r="B523" s="14"/>
      <c r="C523" s="14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</row>
    <row r="524" spans="2:14" x14ac:dyDescent="0.3">
      <c r="B524" s="14"/>
      <c r="C524" s="14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</row>
    <row r="525" spans="2:14" x14ac:dyDescent="0.3">
      <c r="B525" s="14"/>
      <c r="C525" s="14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</row>
    <row r="526" spans="2:14" x14ac:dyDescent="0.3">
      <c r="B526" s="14"/>
      <c r="C526" s="14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</row>
    <row r="527" spans="2:14" x14ac:dyDescent="0.3">
      <c r="B527" s="14"/>
      <c r="C527" s="14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</row>
    <row r="528" spans="2:14" x14ac:dyDescent="0.3">
      <c r="B528" s="14"/>
      <c r="C528" s="14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</row>
    <row r="529" spans="2:14" x14ac:dyDescent="0.3">
      <c r="B529" s="14"/>
      <c r="C529" s="14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</row>
    <row r="530" spans="2:14" x14ac:dyDescent="0.3">
      <c r="B530" s="14"/>
      <c r="C530" s="14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</row>
    <row r="531" spans="2:14" x14ac:dyDescent="0.3">
      <c r="B531" s="14"/>
      <c r="C531" s="14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</row>
    <row r="532" spans="2:14" x14ac:dyDescent="0.3">
      <c r="B532" s="14"/>
      <c r="C532" s="14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</row>
    <row r="533" spans="2:14" x14ac:dyDescent="0.3">
      <c r="B533" s="14"/>
      <c r="C533" s="14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</row>
    <row r="534" spans="2:14" x14ac:dyDescent="0.3">
      <c r="B534" s="14"/>
      <c r="C534" s="14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</row>
    <row r="535" spans="2:14" x14ac:dyDescent="0.3">
      <c r="B535" s="14"/>
      <c r="C535" s="14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</row>
    <row r="536" spans="2:14" x14ac:dyDescent="0.3">
      <c r="B536" s="14"/>
      <c r="C536" s="14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</row>
    <row r="537" spans="2:14" x14ac:dyDescent="0.3">
      <c r="B537" s="14"/>
      <c r="C537" s="14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</row>
    <row r="538" spans="2:14" x14ac:dyDescent="0.3">
      <c r="B538" s="14"/>
      <c r="C538" s="14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</row>
    <row r="539" spans="2:14" x14ac:dyDescent="0.3">
      <c r="B539" s="14"/>
      <c r="C539" s="14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</row>
    <row r="540" spans="2:14" x14ac:dyDescent="0.3">
      <c r="B540" s="14"/>
      <c r="C540" s="14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</row>
    <row r="541" spans="2:14" x14ac:dyDescent="0.3">
      <c r="B541" s="14"/>
      <c r="C541" s="14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</row>
    <row r="542" spans="2:14" x14ac:dyDescent="0.3">
      <c r="B542" s="14"/>
      <c r="C542" s="14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</row>
    <row r="543" spans="2:14" x14ac:dyDescent="0.3">
      <c r="B543" s="14"/>
      <c r="C543" s="14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</row>
    <row r="544" spans="2:14" x14ac:dyDescent="0.3">
      <c r="B544" s="14"/>
      <c r="C544" s="14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</row>
    <row r="545" spans="2:14" x14ac:dyDescent="0.3">
      <c r="B545" s="14"/>
      <c r="C545" s="14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</row>
    <row r="546" spans="2:14" x14ac:dyDescent="0.3">
      <c r="B546" s="14"/>
      <c r="C546" s="14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</row>
    <row r="547" spans="2:14" x14ac:dyDescent="0.3">
      <c r="B547" s="14"/>
      <c r="C547" s="14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</row>
    <row r="548" spans="2:14" x14ac:dyDescent="0.3">
      <c r="B548" s="14"/>
      <c r="C548" s="14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</row>
    <row r="549" spans="2:14" x14ac:dyDescent="0.3">
      <c r="B549" s="14"/>
      <c r="C549" s="14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</row>
    <row r="550" spans="2:14" x14ac:dyDescent="0.3">
      <c r="B550" s="14"/>
      <c r="C550" s="14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</row>
    <row r="551" spans="2:14" x14ac:dyDescent="0.3">
      <c r="B551" s="14"/>
      <c r="C551" s="14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</row>
    <row r="552" spans="2:14" x14ac:dyDescent="0.3">
      <c r="B552" s="14"/>
      <c r="C552" s="14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</row>
    <row r="553" spans="2:14" x14ac:dyDescent="0.3">
      <c r="B553" s="14"/>
      <c r="C553" s="14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</row>
    <row r="554" spans="2:14" x14ac:dyDescent="0.3">
      <c r="B554" s="14"/>
      <c r="C554" s="14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</row>
    <row r="555" spans="2:14" x14ac:dyDescent="0.3">
      <c r="B555" s="14"/>
      <c r="C555" s="14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</row>
    <row r="556" spans="2:14" x14ac:dyDescent="0.3">
      <c r="B556" s="14"/>
      <c r="C556" s="14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</row>
    <row r="557" spans="2:14" x14ac:dyDescent="0.3">
      <c r="B557" s="14"/>
      <c r="C557" s="14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</row>
    <row r="558" spans="2:14" x14ac:dyDescent="0.3">
      <c r="B558" s="14"/>
      <c r="C558" s="14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</row>
    <row r="559" spans="2:14" x14ac:dyDescent="0.3">
      <c r="B559" s="14"/>
      <c r="C559" s="14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</row>
    <row r="560" spans="2:14" x14ac:dyDescent="0.3">
      <c r="B560" s="14"/>
      <c r="C560" s="14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</row>
    <row r="561" spans="2:14" x14ac:dyDescent="0.3">
      <c r="B561" s="14"/>
      <c r="C561" s="14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</row>
    <row r="562" spans="2:14" x14ac:dyDescent="0.3">
      <c r="B562" s="14"/>
      <c r="C562" s="14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</row>
    <row r="563" spans="2:14" x14ac:dyDescent="0.3">
      <c r="B563" s="14"/>
      <c r="C563" s="14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</row>
    <row r="564" spans="2:14" x14ac:dyDescent="0.3">
      <c r="B564" s="14"/>
      <c r="C564" s="14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</row>
    <row r="565" spans="2:14" x14ac:dyDescent="0.3">
      <c r="B565" s="14"/>
      <c r="C565" s="14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</row>
    <row r="566" spans="2:14" x14ac:dyDescent="0.3">
      <c r="B566" s="14"/>
      <c r="C566" s="14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</row>
    <row r="567" spans="2:14" x14ac:dyDescent="0.3">
      <c r="B567" s="14"/>
      <c r="C567" s="14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</row>
    <row r="568" spans="2:14" x14ac:dyDescent="0.3">
      <c r="B568" s="14"/>
      <c r="C568" s="14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</row>
    <row r="569" spans="2:14" x14ac:dyDescent="0.3">
      <c r="B569" s="14"/>
      <c r="C569" s="14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</row>
    <row r="570" spans="2:14" x14ac:dyDescent="0.3">
      <c r="B570" s="14"/>
      <c r="C570" s="14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</row>
    <row r="571" spans="2:14" x14ac:dyDescent="0.3">
      <c r="B571" s="14"/>
      <c r="C571" s="14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</row>
    <row r="572" spans="2:14" x14ac:dyDescent="0.3">
      <c r="B572" s="14"/>
      <c r="C572" s="14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</row>
    <row r="573" spans="2:14" x14ac:dyDescent="0.3">
      <c r="B573" s="14"/>
      <c r="C573" s="14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</row>
    <row r="574" spans="2:14" x14ac:dyDescent="0.3">
      <c r="B574" s="14"/>
      <c r="C574" s="14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</row>
    <row r="575" spans="2:14" x14ac:dyDescent="0.3">
      <c r="B575" s="14"/>
      <c r="C575" s="14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</row>
    <row r="576" spans="2:14" x14ac:dyDescent="0.3">
      <c r="B576" s="14"/>
      <c r="C576" s="14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</row>
    <row r="577" spans="2:14" x14ac:dyDescent="0.3">
      <c r="B577" s="14"/>
      <c r="C577" s="14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</row>
    <row r="578" spans="2:14" x14ac:dyDescent="0.3">
      <c r="B578" s="14"/>
      <c r="C578" s="14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</row>
    <row r="579" spans="2:14" x14ac:dyDescent="0.3">
      <c r="B579" s="14"/>
      <c r="C579" s="14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</row>
    <row r="580" spans="2:14" x14ac:dyDescent="0.3">
      <c r="B580" s="14"/>
      <c r="C580" s="14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</row>
    <row r="581" spans="2:14" x14ac:dyDescent="0.3">
      <c r="B581" s="14"/>
      <c r="C581" s="14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</row>
    <row r="582" spans="2:14" x14ac:dyDescent="0.3">
      <c r="B582" s="14"/>
      <c r="C582" s="14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</row>
    <row r="583" spans="2:14" x14ac:dyDescent="0.3">
      <c r="B583" s="14"/>
      <c r="C583" s="14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</row>
    <row r="584" spans="2:14" x14ac:dyDescent="0.3">
      <c r="B584" s="14"/>
      <c r="C584" s="14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</row>
    <row r="585" spans="2:14" x14ac:dyDescent="0.3">
      <c r="B585" s="14"/>
      <c r="C585" s="14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</row>
    <row r="586" spans="2:14" x14ac:dyDescent="0.3">
      <c r="B586" s="14"/>
      <c r="C586" s="14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</row>
    <row r="587" spans="2:14" x14ac:dyDescent="0.3">
      <c r="B587" s="14"/>
      <c r="C587" s="14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</row>
    <row r="588" spans="2:14" x14ac:dyDescent="0.3">
      <c r="B588" s="14"/>
      <c r="C588" s="14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</row>
    <row r="589" spans="2:14" x14ac:dyDescent="0.3">
      <c r="B589" s="14"/>
      <c r="C589" s="14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</row>
    <row r="590" spans="2:14" x14ac:dyDescent="0.3">
      <c r="B590" s="14"/>
      <c r="C590" s="14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</row>
    <row r="591" spans="2:14" x14ac:dyDescent="0.3">
      <c r="B591" s="14"/>
      <c r="C591" s="14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</row>
    <row r="592" spans="2:14" x14ac:dyDescent="0.3">
      <c r="B592" s="14"/>
      <c r="C592" s="14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</row>
    <row r="593" spans="2:14" x14ac:dyDescent="0.3">
      <c r="B593" s="14"/>
      <c r="C593" s="14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</row>
    <row r="594" spans="2:14" x14ac:dyDescent="0.3">
      <c r="B594" s="14"/>
      <c r="C594" s="14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</row>
    <row r="595" spans="2:14" x14ac:dyDescent="0.3">
      <c r="B595" s="14"/>
      <c r="C595" s="14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</row>
    <row r="596" spans="2:14" x14ac:dyDescent="0.3">
      <c r="B596" s="14"/>
      <c r="C596" s="14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</row>
    <row r="597" spans="2:14" x14ac:dyDescent="0.3">
      <c r="B597" s="14"/>
      <c r="C597" s="14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</row>
    <row r="598" spans="2:14" x14ac:dyDescent="0.3">
      <c r="B598" s="14"/>
      <c r="C598" s="14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</row>
    <row r="599" spans="2:14" x14ac:dyDescent="0.3">
      <c r="B599" s="14"/>
      <c r="C599" s="14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</row>
    <row r="600" spans="2:14" x14ac:dyDescent="0.3">
      <c r="B600" s="14"/>
      <c r="C600" s="14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</row>
    <row r="601" spans="2:14" x14ac:dyDescent="0.3">
      <c r="B601" s="14"/>
      <c r="C601" s="14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</row>
    <row r="602" spans="2:14" x14ac:dyDescent="0.3">
      <c r="B602" s="14"/>
      <c r="C602" s="14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</row>
    <row r="603" spans="2:14" x14ac:dyDescent="0.3">
      <c r="B603" s="14"/>
      <c r="C603" s="14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</row>
    <row r="604" spans="2:14" x14ac:dyDescent="0.3">
      <c r="B604" s="14"/>
      <c r="C604" s="14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</row>
    <row r="605" spans="2:14" x14ac:dyDescent="0.3">
      <c r="B605" s="14"/>
      <c r="C605" s="14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</row>
    <row r="606" spans="2:14" x14ac:dyDescent="0.3">
      <c r="B606" s="14"/>
      <c r="C606" s="14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</row>
    <row r="607" spans="2:14" x14ac:dyDescent="0.3">
      <c r="B607" s="14"/>
      <c r="C607" s="14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</row>
    <row r="608" spans="2:14" x14ac:dyDescent="0.3">
      <c r="B608" s="14"/>
      <c r="C608" s="14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</row>
    <row r="609" spans="2:14" x14ac:dyDescent="0.3">
      <c r="B609" s="14"/>
      <c r="C609" s="14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</row>
    <row r="610" spans="2:14" x14ac:dyDescent="0.3">
      <c r="B610" s="14"/>
      <c r="C610" s="14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</row>
    <row r="611" spans="2:14" x14ac:dyDescent="0.3">
      <c r="B611" s="14"/>
      <c r="C611" s="14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</row>
    <row r="612" spans="2:14" x14ac:dyDescent="0.3">
      <c r="B612" s="14"/>
      <c r="C612" s="14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</row>
    <row r="613" spans="2:14" x14ac:dyDescent="0.3">
      <c r="B613" s="14"/>
      <c r="C613" s="14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</row>
    <row r="614" spans="2:14" x14ac:dyDescent="0.3">
      <c r="B614" s="14"/>
      <c r="C614" s="14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</row>
    <row r="615" spans="2:14" x14ac:dyDescent="0.3">
      <c r="B615" s="14"/>
      <c r="C615" s="14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</row>
    <row r="616" spans="2:14" x14ac:dyDescent="0.3">
      <c r="B616" s="14"/>
      <c r="C616" s="14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</row>
    <row r="617" spans="2:14" x14ac:dyDescent="0.3">
      <c r="B617" s="14"/>
      <c r="C617" s="14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</row>
    <row r="618" spans="2:14" x14ac:dyDescent="0.3">
      <c r="B618" s="14"/>
      <c r="C618" s="14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</row>
    <row r="619" spans="2:14" x14ac:dyDescent="0.3">
      <c r="B619" s="14"/>
      <c r="C619" s="14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</row>
    <row r="620" spans="2:14" x14ac:dyDescent="0.3">
      <c r="B620" s="14"/>
      <c r="C620" s="14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</row>
    <row r="621" spans="2:14" x14ac:dyDescent="0.3">
      <c r="B621" s="14"/>
      <c r="C621" s="14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</row>
    <row r="622" spans="2:14" x14ac:dyDescent="0.3">
      <c r="B622" s="14"/>
      <c r="C622" s="14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</row>
    <row r="623" spans="2:14" x14ac:dyDescent="0.3">
      <c r="B623" s="14"/>
      <c r="C623" s="14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</row>
    <row r="624" spans="2:14" x14ac:dyDescent="0.3">
      <c r="B624" s="14"/>
      <c r="C624" s="14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</row>
    <row r="625" spans="2:14" x14ac:dyDescent="0.3">
      <c r="B625" s="14"/>
      <c r="C625" s="14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</row>
    <row r="626" spans="2:14" x14ac:dyDescent="0.3">
      <c r="B626" s="14"/>
      <c r="C626" s="14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</row>
    <row r="627" spans="2:14" x14ac:dyDescent="0.3">
      <c r="B627" s="14"/>
      <c r="C627" s="14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</row>
    <row r="628" spans="2:14" x14ac:dyDescent="0.3">
      <c r="B628" s="14"/>
      <c r="C628" s="14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</row>
    <row r="629" spans="2:14" x14ac:dyDescent="0.3">
      <c r="B629" s="14"/>
      <c r="C629" s="14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</row>
    <row r="630" spans="2:14" x14ac:dyDescent="0.3">
      <c r="B630" s="14"/>
      <c r="C630" s="14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</row>
    <row r="631" spans="2:14" x14ac:dyDescent="0.3">
      <c r="B631" s="14"/>
      <c r="C631" s="14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</row>
    <row r="632" spans="2:14" x14ac:dyDescent="0.3">
      <c r="B632" s="14"/>
      <c r="C632" s="14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</row>
    <row r="633" spans="2:14" x14ac:dyDescent="0.3">
      <c r="B633" s="14"/>
      <c r="C633" s="14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</row>
    <row r="634" spans="2:14" x14ac:dyDescent="0.3">
      <c r="B634" s="14"/>
      <c r="C634" s="14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</row>
    <row r="635" spans="2:14" x14ac:dyDescent="0.3">
      <c r="B635" s="14"/>
      <c r="C635" s="14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</row>
    <row r="636" spans="2:14" x14ac:dyDescent="0.3">
      <c r="B636" s="14"/>
      <c r="C636" s="14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</row>
    <row r="637" spans="2:14" x14ac:dyDescent="0.3">
      <c r="B637" s="14"/>
      <c r="C637" s="14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</row>
    <row r="638" spans="2:14" x14ac:dyDescent="0.3">
      <c r="B638" s="14"/>
      <c r="C638" s="14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</row>
    <row r="639" spans="2:14" x14ac:dyDescent="0.3">
      <c r="B639" s="14"/>
      <c r="C639" s="14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</row>
    <row r="640" spans="2:14" x14ac:dyDescent="0.3">
      <c r="B640" s="14"/>
      <c r="C640" s="14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</row>
    <row r="641" spans="2:14" x14ac:dyDescent="0.3">
      <c r="B641" s="14"/>
      <c r="C641" s="14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</row>
    <row r="642" spans="2:14" x14ac:dyDescent="0.3">
      <c r="B642" s="14"/>
      <c r="C642" s="14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</row>
    <row r="643" spans="2:14" x14ac:dyDescent="0.3">
      <c r="B643" s="14"/>
      <c r="C643" s="14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</row>
    <row r="644" spans="2:14" x14ac:dyDescent="0.3">
      <c r="B644" s="14"/>
      <c r="C644" s="14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</row>
    <row r="645" spans="2:14" x14ac:dyDescent="0.3">
      <c r="B645" s="14"/>
      <c r="C645" s="14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</row>
    <row r="646" spans="2:14" x14ac:dyDescent="0.3">
      <c r="B646" s="14"/>
      <c r="C646" s="14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</row>
    <row r="647" spans="2:14" x14ac:dyDescent="0.3">
      <c r="B647" s="14"/>
      <c r="C647" s="14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</row>
    <row r="648" spans="2:14" x14ac:dyDescent="0.3">
      <c r="B648" s="14"/>
      <c r="C648" s="14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</row>
    <row r="649" spans="2:14" x14ac:dyDescent="0.3">
      <c r="B649" s="14"/>
      <c r="C649" s="14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</row>
    <row r="650" spans="2:14" x14ac:dyDescent="0.3">
      <c r="B650" s="14"/>
      <c r="C650" s="14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</row>
    <row r="651" spans="2:14" x14ac:dyDescent="0.3">
      <c r="B651" s="14"/>
      <c r="C651" s="14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</row>
    <row r="652" spans="2:14" x14ac:dyDescent="0.3">
      <c r="B652" s="14"/>
      <c r="C652" s="14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</row>
    <row r="653" spans="2:14" x14ac:dyDescent="0.3">
      <c r="B653" s="14"/>
      <c r="C653" s="14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</row>
    <row r="654" spans="2:14" x14ac:dyDescent="0.3">
      <c r="B654" s="14"/>
      <c r="C654" s="14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</row>
    <row r="655" spans="2:14" x14ac:dyDescent="0.3">
      <c r="B655" s="14"/>
      <c r="C655" s="14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</row>
    <row r="656" spans="2:14" x14ac:dyDescent="0.3">
      <c r="B656" s="14"/>
      <c r="C656" s="14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</row>
    <row r="657" spans="2:14" x14ac:dyDescent="0.3">
      <c r="B657" s="14"/>
      <c r="C657" s="14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</row>
    <row r="658" spans="2:14" x14ac:dyDescent="0.3">
      <c r="B658" s="14"/>
      <c r="C658" s="14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</row>
    <row r="659" spans="2:14" x14ac:dyDescent="0.3">
      <c r="B659" s="14"/>
      <c r="C659" s="14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</row>
    <row r="660" spans="2:14" x14ac:dyDescent="0.3">
      <c r="B660" s="14"/>
      <c r="C660" s="14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</row>
    <row r="661" spans="2:14" x14ac:dyDescent="0.3">
      <c r="B661" s="14"/>
      <c r="C661" s="14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</row>
    <row r="662" spans="2:14" x14ac:dyDescent="0.3">
      <c r="B662" s="14"/>
      <c r="C662" s="14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</row>
    <row r="663" spans="2:14" x14ac:dyDescent="0.3">
      <c r="B663" s="14"/>
      <c r="C663" s="14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</row>
    <row r="664" spans="2:14" x14ac:dyDescent="0.3">
      <c r="B664" s="14"/>
      <c r="C664" s="14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</row>
    <row r="665" spans="2:14" x14ac:dyDescent="0.3">
      <c r="B665" s="14"/>
      <c r="C665" s="14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</row>
    <row r="666" spans="2:14" x14ac:dyDescent="0.3">
      <c r="B666" s="14"/>
      <c r="C666" s="14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</row>
    <row r="667" spans="2:14" x14ac:dyDescent="0.3">
      <c r="B667" s="14"/>
      <c r="C667" s="14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</row>
    <row r="668" spans="2:14" x14ac:dyDescent="0.3">
      <c r="B668" s="14"/>
      <c r="C668" s="14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</row>
    <row r="669" spans="2:14" x14ac:dyDescent="0.3">
      <c r="B669" s="14"/>
      <c r="C669" s="14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</row>
    <row r="670" spans="2:14" x14ac:dyDescent="0.3">
      <c r="B670" s="14"/>
      <c r="C670" s="14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</row>
    <row r="671" spans="2:14" x14ac:dyDescent="0.3">
      <c r="B671" s="14"/>
      <c r="C671" s="14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</row>
    <row r="672" spans="2:14" x14ac:dyDescent="0.3">
      <c r="B672" s="14"/>
      <c r="C672" s="14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</row>
    <row r="673" spans="2:14" x14ac:dyDescent="0.3">
      <c r="B673" s="14"/>
      <c r="C673" s="14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</row>
    <row r="674" spans="2:14" x14ac:dyDescent="0.3">
      <c r="B674" s="14"/>
      <c r="C674" s="14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</row>
    <row r="675" spans="2:14" x14ac:dyDescent="0.3">
      <c r="B675" s="14"/>
      <c r="C675" s="14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</row>
    <row r="676" spans="2:14" x14ac:dyDescent="0.3">
      <c r="B676" s="14"/>
      <c r="C676" s="14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</row>
    <row r="677" spans="2:14" x14ac:dyDescent="0.3">
      <c r="B677" s="14"/>
      <c r="C677" s="14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</row>
    <row r="678" spans="2:14" x14ac:dyDescent="0.3">
      <c r="B678" s="14"/>
      <c r="C678" s="14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</row>
    <row r="679" spans="2:14" x14ac:dyDescent="0.3">
      <c r="B679" s="14"/>
      <c r="C679" s="14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</row>
    <row r="680" spans="2:14" x14ac:dyDescent="0.3">
      <c r="B680" s="14"/>
      <c r="C680" s="14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</row>
    <row r="681" spans="2:14" x14ac:dyDescent="0.3">
      <c r="B681" s="14"/>
      <c r="C681" s="14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</row>
    <row r="682" spans="2:14" x14ac:dyDescent="0.3">
      <c r="B682" s="14"/>
      <c r="C682" s="14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</row>
    <row r="683" spans="2:14" x14ac:dyDescent="0.3">
      <c r="B683" s="14"/>
      <c r="C683" s="14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</row>
    <row r="684" spans="2:14" x14ac:dyDescent="0.3">
      <c r="B684" s="14"/>
      <c r="C684" s="14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</row>
    <row r="685" spans="2:14" x14ac:dyDescent="0.3">
      <c r="B685" s="14"/>
      <c r="C685" s="14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</row>
    <row r="686" spans="2:14" x14ac:dyDescent="0.3">
      <c r="B686" s="14"/>
      <c r="C686" s="14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</row>
    <row r="687" spans="2:14" x14ac:dyDescent="0.3">
      <c r="B687" s="14"/>
      <c r="C687" s="14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</row>
    <row r="688" spans="2:14" x14ac:dyDescent="0.3">
      <c r="B688" s="14"/>
      <c r="C688" s="14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</row>
    <row r="689" spans="2:14" x14ac:dyDescent="0.3">
      <c r="B689" s="14"/>
      <c r="C689" s="14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</row>
    <row r="690" spans="2:14" x14ac:dyDescent="0.3">
      <c r="B690" s="14"/>
      <c r="C690" s="14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</row>
    <row r="691" spans="2:14" x14ac:dyDescent="0.3">
      <c r="B691" s="14"/>
      <c r="C691" s="14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</row>
    <row r="692" spans="2:14" x14ac:dyDescent="0.3">
      <c r="B692" s="14"/>
      <c r="C692" s="14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</row>
    <row r="693" spans="2:14" x14ac:dyDescent="0.3">
      <c r="B693" s="14"/>
      <c r="C693" s="14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</row>
    <row r="694" spans="2:14" x14ac:dyDescent="0.3">
      <c r="B694" s="14"/>
      <c r="C694" s="14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</row>
    <row r="695" spans="2:14" x14ac:dyDescent="0.3">
      <c r="B695" s="14"/>
      <c r="C695" s="14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</row>
    <row r="696" spans="2:14" x14ac:dyDescent="0.3">
      <c r="B696" s="14"/>
      <c r="C696" s="14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</row>
    <row r="697" spans="2:14" x14ac:dyDescent="0.3">
      <c r="B697" s="14"/>
      <c r="C697" s="14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</row>
    <row r="698" spans="2:14" x14ac:dyDescent="0.3">
      <c r="B698" s="14"/>
      <c r="C698" s="14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</row>
    <row r="699" spans="2:14" x14ac:dyDescent="0.3">
      <c r="B699" s="14"/>
      <c r="C699" s="14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</row>
    <row r="700" spans="2:14" x14ac:dyDescent="0.3">
      <c r="B700" s="14"/>
      <c r="C700" s="14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</row>
    <row r="701" spans="2:14" x14ac:dyDescent="0.3">
      <c r="B701" s="14"/>
      <c r="C701" s="14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</row>
    <row r="702" spans="2:14" x14ac:dyDescent="0.3">
      <c r="B702" s="14"/>
      <c r="C702" s="14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</row>
    <row r="703" spans="2:14" x14ac:dyDescent="0.3">
      <c r="B703" s="14"/>
      <c r="C703" s="14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</row>
    <row r="704" spans="2:14" x14ac:dyDescent="0.3">
      <c r="B704" s="14"/>
      <c r="C704" s="14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</row>
    <row r="705" spans="2:14" x14ac:dyDescent="0.3">
      <c r="B705" s="14"/>
      <c r="C705" s="14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</row>
    <row r="706" spans="2:14" x14ac:dyDescent="0.3">
      <c r="B706" s="14"/>
      <c r="C706" s="14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</row>
    <row r="707" spans="2:14" x14ac:dyDescent="0.3">
      <c r="B707" s="14"/>
      <c r="C707" s="14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</row>
    <row r="708" spans="2:14" x14ac:dyDescent="0.3">
      <c r="B708" s="14"/>
      <c r="C708" s="14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</row>
    <row r="709" spans="2:14" x14ac:dyDescent="0.3">
      <c r="B709" s="14"/>
      <c r="C709" s="14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</row>
    <row r="710" spans="2:14" x14ac:dyDescent="0.3">
      <c r="B710" s="14"/>
      <c r="C710" s="14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</row>
    <row r="711" spans="2:14" x14ac:dyDescent="0.3">
      <c r="B711" s="14"/>
      <c r="C711" s="14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</row>
    <row r="712" spans="2:14" x14ac:dyDescent="0.3">
      <c r="B712" s="14"/>
      <c r="C712" s="14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</row>
    <row r="713" spans="2:14" x14ac:dyDescent="0.3">
      <c r="B713" s="14"/>
      <c r="C713" s="14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</row>
    <row r="714" spans="2:14" x14ac:dyDescent="0.3">
      <c r="B714" s="14"/>
      <c r="C714" s="14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</row>
    <row r="715" spans="2:14" x14ac:dyDescent="0.3">
      <c r="B715" s="14"/>
      <c r="C715" s="14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</row>
    <row r="716" spans="2:14" x14ac:dyDescent="0.3">
      <c r="B716" s="14"/>
      <c r="C716" s="14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</row>
    <row r="717" spans="2:14" x14ac:dyDescent="0.3">
      <c r="B717" s="14"/>
      <c r="C717" s="14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</row>
    <row r="718" spans="2:14" x14ac:dyDescent="0.3">
      <c r="B718" s="14"/>
      <c r="C718" s="14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</row>
    <row r="719" spans="2:14" x14ac:dyDescent="0.3">
      <c r="B719" s="14"/>
      <c r="C719" s="14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</row>
    <row r="720" spans="2:14" x14ac:dyDescent="0.3">
      <c r="B720" s="14"/>
      <c r="C720" s="14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</row>
    <row r="721" spans="2:14" x14ac:dyDescent="0.3">
      <c r="B721" s="14"/>
      <c r="C721" s="14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</row>
    <row r="722" spans="2:14" x14ac:dyDescent="0.3">
      <c r="B722" s="14"/>
      <c r="C722" s="14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</row>
    <row r="723" spans="2:14" x14ac:dyDescent="0.3">
      <c r="B723" s="14"/>
      <c r="C723" s="14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</row>
    <row r="724" spans="2:14" x14ac:dyDescent="0.3">
      <c r="B724" s="14"/>
      <c r="C724" s="14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</row>
    <row r="725" spans="2:14" x14ac:dyDescent="0.3">
      <c r="B725" s="14"/>
      <c r="C725" s="14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</row>
    <row r="726" spans="2:14" x14ac:dyDescent="0.3">
      <c r="B726" s="14"/>
      <c r="C726" s="14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</row>
    <row r="727" spans="2:14" x14ac:dyDescent="0.3">
      <c r="B727" s="14"/>
      <c r="C727" s="14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</row>
    <row r="728" spans="2:14" x14ac:dyDescent="0.3">
      <c r="B728" s="14"/>
      <c r="C728" s="14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</row>
    <row r="729" spans="2:14" x14ac:dyDescent="0.3">
      <c r="B729" s="14"/>
      <c r="C729" s="14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</row>
    <row r="730" spans="2:14" x14ac:dyDescent="0.3">
      <c r="B730" s="14"/>
      <c r="C730" s="14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</row>
    <row r="731" spans="2:14" x14ac:dyDescent="0.3">
      <c r="B731" s="14"/>
      <c r="C731" s="14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</row>
    <row r="732" spans="2:14" x14ac:dyDescent="0.3">
      <c r="B732" s="14"/>
      <c r="C732" s="14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</row>
    <row r="733" spans="2:14" x14ac:dyDescent="0.3">
      <c r="B733" s="14"/>
      <c r="C733" s="14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</row>
    <row r="734" spans="2:14" x14ac:dyDescent="0.3">
      <c r="B734" s="14"/>
      <c r="C734" s="14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</row>
    <row r="735" spans="2:14" x14ac:dyDescent="0.3">
      <c r="B735" s="14"/>
      <c r="C735" s="14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</row>
    <row r="736" spans="2:14" x14ac:dyDescent="0.3">
      <c r="B736" s="14"/>
      <c r="C736" s="14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</row>
    <row r="737" spans="2:14" x14ac:dyDescent="0.3">
      <c r="B737" s="14"/>
      <c r="C737" s="14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</row>
    <row r="738" spans="2:14" x14ac:dyDescent="0.3">
      <c r="B738" s="14"/>
      <c r="C738" s="14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</row>
    <row r="739" spans="2:14" x14ac:dyDescent="0.3">
      <c r="B739" s="14"/>
      <c r="C739" s="14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</row>
    <row r="740" spans="2:14" x14ac:dyDescent="0.3">
      <c r="B740" s="14"/>
      <c r="C740" s="14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</row>
    <row r="741" spans="2:14" x14ac:dyDescent="0.3">
      <c r="B741" s="14"/>
      <c r="C741" s="14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</row>
    <row r="742" spans="2:14" x14ac:dyDescent="0.3">
      <c r="B742" s="14"/>
      <c r="C742" s="14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</row>
    <row r="743" spans="2:14" x14ac:dyDescent="0.3">
      <c r="B743" s="14"/>
      <c r="C743" s="14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</row>
    <row r="744" spans="2:14" x14ac:dyDescent="0.3">
      <c r="B744" s="14"/>
      <c r="C744" s="14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</row>
    <row r="745" spans="2:14" x14ac:dyDescent="0.3">
      <c r="B745" s="14"/>
      <c r="C745" s="14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</row>
    <row r="746" spans="2:14" x14ac:dyDescent="0.3">
      <c r="B746" s="14"/>
      <c r="C746" s="14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</row>
    <row r="747" spans="2:14" x14ac:dyDescent="0.3">
      <c r="B747" s="14"/>
      <c r="C747" s="14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</row>
    <row r="748" spans="2:14" x14ac:dyDescent="0.3">
      <c r="B748" s="14"/>
      <c r="C748" s="14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</row>
    <row r="749" spans="2:14" x14ac:dyDescent="0.3">
      <c r="B749" s="14"/>
      <c r="C749" s="14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</row>
    <row r="750" spans="2:14" x14ac:dyDescent="0.3">
      <c r="B750" s="14"/>
      <c r="C750" s="14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</row>
    <row r="751" spans="2:14" x14ac:dyDescent="0.3">
      <c r="B751" s="14"/>
      <c r="C751" s="14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</row>
    <row r="752" spans="2:14" x14ac:dyDescent="0.3">
      <c r="B752" s="14"/>
      <c r="C752" s="14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</row>
    <row r="753" spans="2:14" x14ac:dyDescent="0.3">
      <c r="B753" s="14"/>
      <c r="C753" s="14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</row>
    <row r="754" spans="2:14" x14ac:dyDescent="0.3">
      <c r="B754" s="14"/>
      <c r="C754" s="14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</row>
    <row r="755" spans="2:14" x14ac:dyDescent="0.3">
      <c r="B755" s="14"/>
      <c r="C755" s="14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</row>
    <row r="756" spans="2:14" x14ac:dyDescent="0.3">
      <c r="B756" s="14"/>
      <c r="C756" s="14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</row>
    <row r="757" spans="2:14" x14ac:dyDescent="0.3">
      <c r="B757" s="14"/>
      <c r="C757" s="14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</row>
    <row r="758" spans="2:14" x14ac:dyDescent="0.3">
      <c r="B758" s="14"/>
      <c r="C758" s="14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</row>
    <row r="759" spans="2:14" x14ac:dyDescent="0.3">
      <c r="B759" s="14"/>
      <c r="C759" s="14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</row>
    <row r="760" spans="2:14" x14ac:dyDescent="0.3">
      <c r="B760" s="14"/>
      <c r="C760" s="14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</row>
    <row r="761" spans="2:14" x14ac:dyDescent="0.3">
      <c r="B761" s="14"/>
      <c r="C761" s="14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</row>
    <row r="762" spans="2:14" x14ac:dyDescent="0.3">
      <c r="B762" s="14"/>
      <c r="C762" s="14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</row>
    <row r="763" spans="2:14" x14ac:dyDescent="0.3">
      <c r="B763" s="14"/>
      <c r="C763" s="14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</row>
    <row r="764" spans="2:14" x14ac:dyDescent="0.3">
      <c r="B764" s="14"/>
      <c r="C764" s="14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</row>
    <row r="765" spans="2:14" x14ac:dyDescent="0.3">
      <c r="B765" s="14"/>
      <c r="C765" s="14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</row>
    <row r="766" spans="2:14" x14ac:dyDescent="0.3">
      <c r="B766" s="14"/>
      <c r="C766" s="14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</row>
    <row r="767" spans="2:14" x14ac:dyDescent="0.3">
      <c r="B767" s="14"/>
      <c r="C767" s="14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</row>
    <row r="768" spans="2:14" x14ac:dyDescent="0.3">
      <c r="B768" s="14"/>
      <c r="C768" s="14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</row>
    <row r="769" spans="2:14" x14ac:dyDescent="0.3">
      <c r="B769" s="14"/>
      <c r="C769" s="14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</row>
    <row r="770" spans="2:14" x14ac:dyDescent="0.3">
      <c r="B770" s="14"/>
      <c r="C770" s="14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</row>
    <row r="771" spans="2:14" x14ac:dyDescent="0.3">
      <c r="B771" s="14"/>
      <c r="C771" s="14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</row>
    <row r="772" spans="2:14" x14ac:dyDescent="0.3">
      <c r="B772" s="14"/>
      <c r="C772" s="14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</row>
    <row r="773" spans="2:14" x14ac:dyDescent="0.3">
      <c r="B773" s="14"/>
      <c r="C773" s="14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</row>
    <row r="774" spans="2:14" x14ac:dyDescent="0.3">
      <c r="B774" s="14"/>
      <c r="C774" s="14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</row>
    <row r="775" spans="2:14" x14ac:dyDescent="0.3">
      <c r="B775" s="14"/>
      <c r="C775" s="14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</row>
    <row r="776" spans="2:14" x14ac:dyDescent="0.3">
      <c r="B776" s="14"/>
      <c r="C776" s="14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</row>
    <row r="777" spans="2:14" x14ac:dyDescent="0.3">
      <c r="B777" s="14"/>
      <c r="C777" s="14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</row>
    <row r="778" spans="2:14" x14ac:dyDescent="0.3">
      <c r="B778" s="14"/>
      <c r="C778" s="14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</row>
    <row r="779" spans="2:14" x14ac:dyDescent="0.3">
      <c r="B779" s="14"/>
      <c r="C779" s="14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</row>
    <row r="780" spans="2:14" x14ac:dyDescent="0.3">
      <c r="B780" s="14"/>
      <c r="C780" s="14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</row>
    <row r="781" spans="2:14" x14ac:dyDescent="0.3">
      <c r="B781" s="14"/>
      <c r="C781" s="14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</row>
    <row r="782" spans="2:14" x14ac:dyDescent="0.3">
      <c r="B782" s="14"/>
      <c r="C782" s="14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</row>
    <row r="783" spans="2:14" x14ac:dyDescent="0.3">
      <c r="B783" s="14"/>
      <c r="C783" s="14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</row>
    <row r="784" spans="2:14" x14ac:dyDescent="0.3">
      <c r="B784" s="14"/>
      <c r="C784" s="14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</row>
    <row r="785" spans="2:14" x14ac:dyDescent="0.3">
      <c r="B785" s="14"/>
      <c r="C785" s="14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</row>
    <row r="786" spans="2:14" x14ac:dyDescent="0.3">
      <c r="B786" s="14"/>
      <c r="C786" s="14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</row>
    <row r="787" spans="2:14" x14ac:dyDescent="0.3">
      <c r="B787" s="14"/>
      <c r="C787" s="14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</row>
    <row r="788" spans="2:14" x14ac:dyDescent="0.3">
      <c r="B788" s="14"/>
      <c r="C788" s="14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</row>
    <row r="789" spans="2:14" x14ac:dyDescent="0.3">
      <c r="B789" s="14"/>
      <c r="C789" s="14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</row>
    <row r="790" spans="2:14" x14ac:dyDescent="0.3">
      <c r="B790" s="14"/>
      <c r="C790" s="14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</row>
    <row r="791" spans="2:14" x14ac:dyDescent="0.3">
      <c r="B791" s="14"/>
      <c r="C791" s="14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</row>
    <row r="792" spans="2:14" x14ac:dyDescent="0.3">
      <c r="B792" s="14"/>
      <c r="C792" s="14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</row>
    <row r="793" spans="2:14" x14ac:dyDescent="0.3">
      <c r="B793" s="14"/>
      <c r="C793" s="14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</row>
    <row r="794" spans="2:14" x14ac:dyDescent="0.3">
      <c r="B794" s="14"/>
      <c r="C794" s="14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</row>
    <row r="795" spans="2:14" x14ac:dyDescent="0.3">
      <c r="B795" s="14"/>
      <c r="C795" s="14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</row>
    <row r="796" spans="2:14" x14ac:dyDescent="0.3">
      <c r="B796" s="14"/>
      <c r="C796" s="14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</row>
    <row r="797" spans="2:14" x14ac:dyDescent="0.3">
      <c r="B797" s="14"/>
      <c r="C797" s="14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</row>
    <row r="798" spans="2:14" x14ac:dyDescent="0.3">
      <c r="B798" s="14"/>
      <c r="C798" s="14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</row>
    <row r="799" spans="2:14" x14ac:dyDescent="0.3">
      <c r="B799" s="14"/>
      <c r="C799" s="14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</row>
    <row r="800" spans="2:14" x14ac:dyDescent="0.3">
      <c r="B800" s="14"/>
      <c r="C800" s="14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</row>
    <row r="801" spans="2:14" x14ac:dyDescent="0.3">
      <c r="B801" s="14"/>
      <c r="C801" s="14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</row>
    <row r="802" spans="2:14" x14ac:dyDescent="0.3">
      <c r="B802" s="14"/>
      <c r="C802" s="14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</row>
    <row r="803" spans="2:14" x14ac:dyDescent="0.3">
      <c r="B803" s="14"/>
      <c r="C803" s="14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</row>
    <row r="804" spans="2:14" x14ac:dyDescent="0.3">
      <c r="B804" s="14"/>
      <c r="C804" s="14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</row>
    <row r="805" spans="2:14" x14ac:dyDescent="0.3">
      <c r="B805" s="14"/>
      <c r="C805" s="14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</row>
    <row r="806" spans="2:14" x14ac:dyDescent="0.3">
      <c r="B806" s="14"/>
      <c r="C806" s="14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</row>
    <row r="807" spans="2:14" x14ac:dyDescent="0.3">
      <c r="B807" s="14"/>
      <c r="C807" s="14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</row>
    <row r="808" spans="2:14" x14ac:dyDescent="0.3">
      <c r="B808" s="14"/>
      <c r="C808" s="14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</row>
    <row r="809" spans="2:14" x14ac:dyDescent="0.3">
      <c r="B809" s="14"/>
      <c r="C809" s="14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</row>
    <row r="810" spans="2:14" x14ac:dyDescent="0.3">
      <c r="B810" s="14"/>
      <c r="C810" s="14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</row>
    <row r="811" spans="2:14" x14ac:dyDescent="0.3">
      <c r="B811" s="14"/>
      <c r="C811" s="14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</row>
    <row r="812" spans="2:14" x14ac:dyDescent="0.3">
      <c r="B812" s="14"/>
      <c r="C812" s="14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</row>
    <row r="813" spans="2:14" x14ac:dyDescent="0.3">
      <c r="B813" s="14"/>
      <c r="C813" s="14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</row>
    <row r="814" spans="2:14" x14ac:dyDescent="0.3">
      <c r="B814" s="14"/>
      <c r="C814" s="14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</row>
    <row r="815" spans="2:14" x14ac:dyDescent="0.3">
      <c r="B815" s="14"/>
      <c r="C815" s="14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</row>
    <row r="816" spans="2:14" x14ac:dyDescent="0.3">
      <c r="B816" s="14"/>
      <c r="C816" s="14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</row>
    <row r="817" spans="2:14" x14ac:dyDescent="0.3">
      <c r="B817" s="14"/>
      <c r="C817" s="14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</row>
    <row r="818" spans="2:14" x14ac:dyDescent="0.3">
      <c r="B818" s="14"/>
      <c r="C818" s="14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</row>
    <row r="819" spans="2:14" x14ac:dyDescent="0.3">
      <c r="B819" s="14"/>
      <c r="C819" s="14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</row>
    <row r="820" spans="2:14" x14ac:dyDescent="0.3">
      <c r="B820" s="14"/>
      <c r="C820" s="14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</row>
    <row r="821" spans="2:14" x14ac:dyDescent="0.3">
      <c r="B821" s="14"/>
      <c r="C821" s="14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</row>
    <row r="822" spans="2:14" x14ac:dyDescent="0.3">
      <c r="B822" s="14"/>
      <c r="C822" s="14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</row>
    <row r="823" spans="2:14" x14ac:dyDescent="0.3">
      <c r="B823" s="14"/>
      <c r="C823" s="14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</row>
    <row r="824" spans="2:14" x14ac:dyDescent="0.3">
      <c r="B824" s="14"/>
      <c r="C824" s="14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</row>
    <row r="825" spans="2:14" x14ac:dyDescent="0.3">
      <c r="B825" s="14"/>
      <c r="C825" s="14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</row>
    <row r="826" spans="2:14" x14ac:dyDescent="0.3">
      <c r="B826" s="14"/>
      <c r="C826" s="14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</row>
    <row r="827" spans="2:14" x14ac:dyDescent="0.3">
      <c r="B827" s="14"/>
      <c r="C827" s="14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</row>
    <row r="828" spans="2:14" x14ac:dyDescent="0.3">
      <c r="B828" s="14"/>
      <c r="C828" s="14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</row>
    <row r="829" spans="2:14" x14ac:dyDescent="0.3">
      <c r="B829" s="14"/>
      <c r="C829" s="14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</row>
    <row r="830" spans="2:14" x14ac:dyDescent="0.3">
      <c r="B830" s="14"/>
      <c r="C830" s="14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</row>
    <row r="831" spans="2:14" x14ac:dyDescent="0.3">
      <c r="B831" s="14"/>
      <c r="C831" s="14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</row>
    <row r="832" spans="2:14" x14ac:dyDescent="0.3">
      <c r="B832" s="14"/>
      <c r="C832" s="14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</row>
    <row r="833" spans="2:14" x14ac:dyDescent="0.3">
      <c r="B833" s="14"/>
      <c r="C833" s="14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</row>
    <row r="834" spans="2:14" x14ac:dyDescent="0.3">
      <c r="B834" s="14"/>
      <c r="C834" s="14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</row>
    <row r="835" spans="2:14" x14ac:dyDescent="0.3">
      <c r="B835" s="14"/>
      <c r="C835" s="14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</row>
    <row r="836" spans="2:14" x14ac:dyDescent="0.3">
      <c r="B836" s="14"/>
      <c r="C836" s="14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</row>
    <row r="837" spans="2:14" x14ac:dyDescent="0.3">
      <c r="B837" s="14"/>
      <c r="C837" s="14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</row>
    <row r="838" spans="2:14" x14ac:dyDescent="0.3">
      <c r="B838" s="14"/>
      <c r="C838" s="14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</row>
    <row r="839" spans="2:14" x14ac:dyDescent="0.3">
      <c r="B839" s="14"/>
      <c r="C839" s="14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</row>
    <row r="840" spans="2:14" x14ac:dyDescent="0.3">
      <c r="B840" s="14"/>
      <c r="C840" s="14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</row>
    <row r="841" spans="2:14" x14ac:dyDescent="0.3">
      <c r="B841" s="14"/>
      <c r="C841" s="14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</row>
    <row r="842" spans="2:14" x14ac:dyDescent="0.3">
      <c r="B842" s="14"/>
      <c r="C842" s="14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</row>
    <row r="843" spans="2:14" x14ac:dyDescent="0.3">
      <c r="B843" s="14"/>
      <c r="C843" s="14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</row>
    <row r="844" spans="2:14" x14ac:dyDescent="0.3">
      <c r="B844" s="14"/>
      <c r="C844" s="14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</row>
    <row r="845" spans="2:14" x14ac:dyDescent="0.3">
      <c r="B845" s="14"/>
      <c r="C845" s="14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</row>
    <row r="846" spans="2:14" x14ac:dyDescent="0.3">
      <c r="B846" s="14"/>
      <c r="C846" s="14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</row>
    <row r="847" spans="2:14" x14ac:dyDescent="0.3">
      <c r="B847" s="14"/>
      <c r="C847" s="14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</row>
    <row r="848" spans="2:14" x14ac:dyDescent="0.3">
      <c r="B848" s="14"/>
      <c r="C848" s="14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</row>
    <row r="849" spans="2:14" x14ac:dyDescent="0.3">
      <c r="B849" s="14"/>
      <c r="C849" s="14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</row>
    <row r="850" spans="2:14" x14ac:dyDescent="0.3">
      <c r="B850" s="14"/>
      <c r="C850" s="14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</row>
    <row r="851" spans="2:14" x14ac:dyDescent="0.3">
      <c r="B851" s="14"/>
      <c r="C851" s="14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</row>
    <row r="852" spans="2:14" x14ac:dyDescent="0.3">
      <c r="B852" s="14"/>
      <c r="C852" s="14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</row>
    <row r="853" spans="2:14" x14ac:dyDescent="0.3">
      <c r="B853" s="14"/>
      <c r="C853" s="14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</row>
    <row r="854" spans="2:14" x14ac:dyDescent="0.3">
      <c r="B854" s="14"/>
      <c r="C854" s="14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</row>
    <row r="855" spans="2:14" x14ac:dyDescent="0.3">
      <c r="B855" s="14"/>
      <c r="C855" s="14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</row>
    <row r="856" spans="2:14" x14ac:dyDescent="0.3">
      <c r="B856" s="14"/>
      <c r="C856" s="14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</row>
    <row r="857" spans="2:14" x14ac:dyDescent="0.3">
      <c r="B857" s="14"/>
      <c r="C857" s="14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</row>
    <row r="858" spans="2:14" x14ac:dyDescent="0.3">
      <c r="B858" s="14"/>
      <c r="C858" s="14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</row>
    <row r="859" spans="2:14" x14ac:dyDescent="0.3">
      <c r="B859" s="14"/>
      <c r="C859" s="14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</row>
    <row r="860" spans="2:14" x14ac:dyDescent="0.3">
      <c r="B860" s="14"/>
      <c r="C860" s="14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</row>
    <row r="861" spans="2:14" x14ac:dyDescent="0.3">
      <c r="B861" s="14"/>
      <c r="C861" s="14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</row>
    <row r="862" spans="2:14" x14ac:dyDescent="0.3">
      <c r="B862" s="14"/>
      <c r="C862" s="14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</row>
    <row r="863" spans="2:14" x14ac:dyDescent="0.3">
      <c r="B863" s="14"/>
      <c r="C863" s="14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</row>
    <row r="864" spans="2:14" x14ac:dyDescent="0.3">
      <c r="B864" s="14"/>
      <c r="C864" s="14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</row>
    <row r="865" spans="2:14" x14ac:dyDescent="0.3">
      <c r="B865" s="14"/>
      <c r="C865" s="14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</row>
    <row r="866" spans="2:14" x14ac:dyDescent="0.3">
      <c r="B866" s="14"/>
      <c r="C866" s="14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</row>
    <row r="867" spans="2:14" x14ac:dyDescent="0.3">
      <c r="B867" s="14"/>
      <c r="C867" s="14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</row>
    <row r="868" spans="2:14" x14ac:dyDescent="0.3">
      <c r="B868" s="14"/>
      <c r="C868" s="14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</row>
    <row r="869" spans="2:14" x14ac:dyDescent="0.3">
      <c r="B869" s="14"/>
      <c r="C869" s="14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</row>
    <row r="870" spans="2:14" x14ac:dyDescent="0.3">
      <c r="B870" s="14"/>
      <c r="C870" s="14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</row>
    <row r="871" spans="2:14" x14ac:dyDescent="0.3">
      <c r="B871" s="14"/>
      <c r="C871" s="14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</row>
    <row r="872" spans="2:14" x14ac:dyDescent="0.3">
      <c r="B872" s="14"/>
      <c r="C872" s="14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</row>
    <row r="873" spans="2:14" x14ac:dyDescent="0.3">
      <c r="B873" s="14"/>
      <c r="C873" s="14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</row>
    <row r="874" spans="2:14" x14ac:dyDescent="0.3">
      <c r="B874" s="14"/>
      <c r="C874" s="14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</row>
    <row r="875" spans="2:14" x14ac:dyDescent="0.3">
      <c r="B875" s="14"/>
      <c r="C875" s="14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</row>
    <row r="876" spans="2:14" x14ac:dyDescent="0.3">
      <c r="B876" s="14"/>
      <c r="C876" s="14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</row>
    <row r="877" spans="2:14" x14ac:dyDescent="0.3">
      <c r="B877" s="14"/>
      <c r="C877" s="14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</row>
    <row r="878" spans="2:14" x14ac:dyDescent="0.3">
      <c r="B878" s="14"/>
      <c r="C878" s="14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</row>
    <row r="879" spans="2:14" x14ac:dyDescent="0.3">
      <c r="B879" s="14"/>
      <c r="C879" s="14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</row>
    <row r="880" spans="2:14" x14ac:dyDescent="0.3">
      <c r="B880" s="14"/>
      <c r="C880" s="14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</row>
    <row r="881" spans="2:14" x14ac:dyDescent="0.3">
      <c r="B881" s="14"/>
      <c r="C881" s="14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</row>
    <row r="882" spans="2:14" x14ac:dyDescent="0.3">
      <c r="B882" s="14"/>
      <c r="C882" s="14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</row>
    <row r="883" spans="2:14" x14ac:dyDescent="0.3">
      <c r="B883" s="14"/>
      <c r="C883" s="14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</row>
    <row r="884" spans="2:14" x14ac:dyDescent="0.3">
      <c r="B884" s="14"/>
      <c r="C884" s="14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</row>
    <row r="885" spans="2:14" x14ac:dyDescent="0.3">
      <c r="B885" s="14"/>
      <c r="C885" s="14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</row>
    <row r="886" spans="2:14" x14ac:dyDescent="0.3">
      <c r="B886" s="14"/>
      <c r="C886" s="14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</row>
    <row r="887" spans="2:14" x14ac:dyDescent="0.3">
      <c r="B887" s="14"/>
      <c r="C887" s="14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</row>
    <row r="888" spans="2:14" x14ac:dyDescent="0.3">
      <c r="B888" s="14"/>
      <c r="C888" s="14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</row>
    <row r="889" spans="2:14" x14ac:dyDescent="0.3">
      <c r="B889" s="14"/>
      <c r="C889" s="14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</row>
    <row r="890" spans="2:14" x14ac:dyDescent="0.3">
      <c r="B890" s="14"/>
      <c r="C890" s="14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</row>
    <row r="891" spans="2:14" x14ac:dyDescent="0.3">
      <c r="B891" s="14"/>
      <c r="C891" s="14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</row>
    <row r="892" spans="2:14" x14ac:dyDescent="0.3">
      <c r="B892" s="14"/>
      <c r="C892" s="14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</row>
    <row r="893" spans="2:14" x14ac:dyDescent="0.3">
      <c r="B893" s="14"/>
      <c r="C893" s="14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</row>
    <row r="894" spans="2:14" x14ac:dyDescent="0.3">
      <c r="B894" s="14"/>
      <c r="C894" s="14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</row>
    <row r="895" spans="2:14" x14ac:dyDescent="0.3">
      <c r="B895" s="14"/>
      <c r="C895" s="14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</row>
    <row r="896" spans="2:14" x14ac:dyDescent="0.3">
      <c r="B896" s="14"/>
      <c r="C896" s="14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</row>
    <row r="897" spans="2:14" x14ac:dyDescent="0.3">
      <c r="B897" s="14"/>
      <c r="C897" s="14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</row>
    <row r="898" spans="2:14" x14ac:dyDescent="0.3">
      <c r="B898" s="14"/>
      <c r="C898" s="14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</row>
    <row r="899" spans="2:14" x14ac:dyDescent="0.3">
      <c r="B899" s="14"/>
      <c r="C899" s="14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</row>
    <row r="900" spans="2:14" x14ac:dyDescent="0.3">
      <c r="B900" s="14"/>
      <c r="C900" s="14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</row>
    <row r="901" spans="2:14" x14ac:dyDescent="0.3">
      <c r="B901" s="14"/>
      <c r="C901" s="14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</row>
    <row r="902" spans="2:14" x14ac:dyDescent="0.3">
      <c r="B902" s="14"/>
      <c r="C902" s="14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</row>
    <row r="903" spans="2:14" x14ac:dyDescent="0.3">
      <c r="B903" s="14"/>
      <c r="C903" s="14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</row>
    <row r="904" spans="2:14" x14ac:dyDescent="0.3">
      <c r="B904" s="14"/>
      <c r="C904" s="14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</row>
    <row r="905" spans="2:14" x14ac:dyDescent="0.3">
      <c r="B905" s="14"/>
      <c r="C905" s="14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</row>
    <row r="906" spans="2:14" x14ac:dyDescent="0.3">
      <c r="B906" s="14"/>
      <c r="C906" s="14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</row>
    <row r="907" spans="2:14" x14ac:dyDescent="0.3">
      <c r="B907" s="14"/>
      <c r="C907" s="14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</row>
    <row r="908" spans="2:14" x14ac:dyDescent="0.3">
      <c r="B908" s="14"/>
      <c r="C908" s="14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</row>
    <row r="909" spans="2:14" x14ac:dyDescent="0.3">
      <c r="B909" s="14"/>
      <c r="C909" s="14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</row>
    <row r="910" spans="2:14" x14ac:dyDescent="0.3">
      <c r="B910" s="14"/>
      <c r="C910" s="14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</row>
    <row r="911" spans="2:14" x14ac:dyDescent="0.3">
      <c r="B911" s="14"/>
      <c r="C911" s="14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</row>
    <row r="912" spans="2:14" x14ac:dyDescent="0.3">
      <c r="B912" s="14"/>
      <c r="C912" s="14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</row>
    <row r="913" spans="2:14" x14ac:dyDescent="0.3">
      <c r="B913" s="14"/>
      <c r="C913" s="14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</row>
    <row r="914" spans="2:14" x14ac:dyDescent="0.3">
      <c r="B914" s="14"/>
      <c r="C914" s="14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</row>
    <row r="915" spans="2:14" x14ac:dyDescent="0.3">
      <c r="B915" s="14"/>
      <c r="C915" s="14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</row>
    <row r="916" spans="2:14" x14ac:dyDescent="0.3">
      <c r="B916" s="14"/>
      <c r="C916" s="14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</row>
    <row r="917" spans="2:14" x14ac:dyDescent="0.3">
      <c r="B917" s="14"/>
      <c r="C917" s="14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</row>
    <row r="918" spans="2:14" x14ac:dyDescent="0.3">
      <c r="B918" s="14"/>
      <c r="C918" s="14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</row>
    <row r="919" spans="2:14" x14ac:dyDescent="0.3">
      <c r="B919" s="14"/>
      <c r="C919" s="14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</row>
    <row r="920" spans="2:14" x14ac:dyDescent="0.3">
      <c r="B920" s="14"/>
      <c r="C920" s="14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</row>
    <row r="921" spans="2:14" x14ac:dyDescent="0.3">
      <c r="B921" s="14"/>
      <c r="C921" s="14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</row>
    <row r="922" spans="2:14" x14ac:dyDescent="0.3">
      <c r="B922" s="14"/>
      <c r="C922" s="14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</row>
    <row r="923" spans="2:14" x14ac:dyDescent="0.3">
      <c r="B923" s="14"/>
      <c r="C923" s="14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</row>
    <row r="924" spans="2:14" x14ac:dyDescent="0.3">
      <c r="B924" s="14"/>
      <c r="C924" s="14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</row>
    <row r="925" spans="2:14" x14ac:dyDescent="0.3">
      <c r="B925" s="14"/>
      <c r="C925" s="14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</row>
    <row r="926" spans="2:14" x14ac:dyDescent="0.3">
      <c r="B926" s="14"/>
      <c r="C926" s="14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</row>
    <row r="927" spans="2:14" x14ac:dyDescent="0.3">
      <c r="B927" s="14"/>
      <c r="C927" s="14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</row>
    <row r="928" spans="2:14" x14ac:dyDescent="0.3">
      <c r="B928" s="14"/>
      <c r="C928" s="14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</row>
    <row r="929" spans="2:14" x14ac:dyDescent="0.3">
      <c r="B929" s="14"/>
      <c r="C929" s="14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</row>
    <row r="930" spans="2:14" x14ac:dyDescent="0.3">
      <c r="B930" s="14"/>
      <c r="C930" s="14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</row>
    <row r="931" spans="2:14" x14ac:dyDescent="0.3">
      <c r="B931" s="14"/>
      <c r="C931" s="14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</row>
    <row r="932" spans="2:14" x14ac:dyDescent="0.3">
      <c r="B932" s="14"/>
      <c r="C932" s="14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</row>
    <row r="933" spans="2:14" x14ac:dyDescent="0.3">
      <c r="B933" s="14"/>
      <c r="C933" s="14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</row>
    <row r="934" spans="2:14" x14ac:dyDescent="0.3">
      <c r="B934" s="14"/>
      <c r="C934" s="14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</row>
    <row r="935" spans="2:14" x14ac:dyDescent="0.3">
      <c r="B935" s="14"/>
      <c r="C935" s="14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</row>
    <row r="936" spans="2:14" x14ac:dyDescent="0.3">
      <c r="B936" s="14"/>
      <c r="C936" s="14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</row>
    <row r="937" spans="2:14" x14ac:dyDescent="0.3">
      <c r="B937" s="14"/>
      <c r="C937" s="14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</row>
    <row r="938" spans="2:14" x14ac:dyDescent="0.3">
      <c r="B938" s="14"/>
      <c r="C938" s="14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</row>
    <row r="939" spans="2:14" x14ac:dyDescent="0.3">
      <c r="B939" s="14"/>
      <c r="C939" s="14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</row>
    <row r="940" spans="2:14" x14ac:dyDescent="0.3">
      <c r="B940" s="14"/>
      <c r="C940" s="14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</row>
    <row r="941" spans="2:14" x14ac:dyDescent="0.3">
      <c r="B941" s="14"/>
      <c r="C941" s="14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</row>
    <row r="942" spans="2:14" x14ac:dyDescent="0.3">
      <c r="B942" s="14"/>
      <c r="C942" s="14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</row>
    <row r="943" spans="2:14" x14ac:dyDescent="0.3">
      <c r="B943" s="14"/>
      <c r="C943" s="14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</row>
    <row r="944" spans="2:14" x14ac:dyDescent="0.3">
      <c r="B944" s="14"/>
      <c r="C944" s="14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</row>
    <row r="945" spans="2:14" x14ac:dyDescent="0.3">
      <c r="B945" s="14"/>
      <c r="C945" s="14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</row>
    <row r="946" spans="2:14" x14ac:dyDescent="0.3">
      <c r="B946" s="14"/>
      <c r="C946" s="14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</row>
    <row r="947" spans="2:14" x14ac:dyDescent="0.3">
      <c r="B947" s="14"/>
      <c r="C947" s="14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</row>
    <row r="948" spans="2:14" x14ac:dyDescent="0.3">
      <c r="B948" s="14"/>
      <c r="C948" s="14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</row>
    <row r="949" spans="2:14" x14ac:dyDescent="0.3">
      <c r="B949" s="14"/>
      <c r="C949" s="14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</row>
    <row r="950" spans="2:14" x14ac:dyDescent="0.3">
      <c r="B950" s="14"/>
      <c r="C950" s="14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</row>
    <row r="951" spans="2:14" x14ac:dyDescent="0.3">
      <c r="B951" s="14"/>
      <c r="C951" s="14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</row>
    <row r="952" spans="2:14" x14ac:dyDescent="0.3">
      <c r="B952" s="14"/>
      <c r="C952" s="14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</row>
    <row r="953" spans="2:14" x14ac:dyDescent="0.3">
      <c r="B953" s="14"/>
      <c r="C953" s="14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</row>
    <row r="954" spans="2:14" x14ac:dyDescent="0.3">
      <c r="B954" s="14"/>
      <c r="C954" s="14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</row>
    <row r="955" spans="2:14" x14ac:dyDescent="0.3">
      <c r="B955" s="14"/>
      <c r="C955" s="14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</row>
    <row r="956" spans="2:14" x14ac:dyDescent="0.3">
      <c r="B956" s="14"/>
      <c r="C956" s="14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</row>
    <row r="957" spans="2:14" x14ac:dyDescent="0.3">
      <c r="B957" s="14"/>
      <c r="C957" s="14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</row>
    <row r="958" spans="2:14" x14ac:dyDescent="0.3">
      <c r="B958" s="14"/>
      <c r="C958" s="14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</row>
    <row r="959" spans="2:14" x14ac:dyDescent="0.3">
      <c r="B959" s="14"/>
      <c r="C959" s="14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</row>
    <row r="960" spans="2:14" x14ac:dyDescent="0.3">
      <c r="B960" s="14"/>
      <c r="C960" s="14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</row>
    <row r="961" spans="2:14" x14ac:dyDescent="0.3">
      <c r="B961" s="14"/>
      <c r="C961" s="14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</row>
    <row r="962" spans="2:14" x14ac:dyDescent="0.3">
      <c r="B962" s="14"/>
      <c r="C962" s="14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</row>
    <row r="963" spans="2:14" x14ac:dyDescent="0.3">
      <c r="B963" s="14"/>
      <c r="C963" s="14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</row>
    <row r="964" spans="2:14" x14ac:dyDescent="0.3">
      <c r="B964" s="14"/>
      <c r="C964" s="14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</row>
    <row r="965" spans="2:14" x14ac:dyDescent="0.3">
      <c r="B965" s="14"/>
      <c r="C965" s="14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</row>
    <row r="966" spans="2:14" x14ac:dyDescent="0.3">
      <c r="B966" s="14"/>
      <c r="C966" s="14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</row>
    <row r="967" spans="2:14" x14ac:dyDescent="0.3">
      <c r="B967" s="14"/>
      <c r="C967" s="14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</row>
    <row r="968" spans="2:14" x14ac:dyDescent="0.3">
      <c r="B968" s="14"/>
      <c r="C968" s="14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</row>
    <row r="969" spans="2:14" x14ac:dyDescent="0.3">
      <c r="B969" s="14"/>
      <c r="C969" s="14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</row>
    <row r="970" spans="2:14" x14ac:dyDescent="0.3">
      <c r="B970" s="14"/>
      <c r="C970" s="14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</row>
    <row r="971" spans="2:14" x14ac:dyDescent="0.3">
      <c r="B971" s="14"/>
      <c r="C971" s="14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</row>
    <row r="972" spans="2:14" x14ac:dyDescent="0.3">
      <c r="B972" s="14"/>
      <c r="C972" s="14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</row>
    <row r="973" spans="2:14" x14ac:dyDescent="0.3">
      <c r="B973" s="14"/>
      <c r="C973" s="14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</row>
    <row r="974" spans="2:14" x14ac:dyDescent="0.3">
      <c r="B974" s="14"/>
      <c r="C974" s="14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</row>
    <row r="975" spans="2:14" x14ac:dyDescent="0.3">
      <c r="B975" s="14"/>
      <c r="C975" s="14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</row>
    <row r="976" spans="2:14" x14ac:dyDescent="0.3">
      <c r="B976" s="14"/>
      <c r="C976" s="14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</row>
    <row r="977" spans="2:14" x14ac:dyDescent="0.3">
      <c r="B977" s="14"/>
      <c r="C977" s="14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</row>
    <row r="978" spans="2:14" x14ac:dyDescent="0.3">
      <c r="B978" s="14"/>
      <c r="C978" s="14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</row>
    <row r="979" spans="2:14" x14ac:dyDescent="0.3">
      <c r="B979" s="14"/>
      <c r="C979" s="14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</row>
    <row r="980" spans="2:14" x14ac:dyDescent="0.3">
      <c r="B980" s="14"/>
      <c r="C980" s="14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</row>
    <row r="981" spans="2:14" x14ac:dyDescent="0.3">
      <c r="B981" s="14"/>
      <c r="C981" s="14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</row>
    <row r="982" spans="2:14" x14ac:dyDescent="0.3">
      <c r="B982" s="14"/>
      <c r="C982" s="14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</row>
    <row r="983" spans="2:14" x14ac:dyDescent="0.3">
      <c r="B983" s="14"/>
      <c r="C983" s="14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</row>
    <row r="984" spans="2:14" x14ac:dyDescent="0.3">
      <c r="B984" s="14"/>
      <c r="C984" s="14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</row>
    <row r="985" spans="2:14" x14ac:dyDescent="0.3">
      <c r="B985" s="14"/>
      <c r="C985" s="14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</row>
    <row r="986" spans="2:14" x14ac:dyDescent="0.3">
      <c r="B986" s="14"/>
      <c r="C986" s="14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</row>
    <row r="987" spans="2:14" x14ac:dyDescent="0.3">
      <c r="B987" s="14"/>
      <c r="C987" s="14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</row>
    <row r="988" spans="2:14" x14ac:dyDescent="0.3">
      <c r="B988" s="14"/>
      <c r="C988" s="14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</row>
    <row r="989" spans="2:14" x14ac:dyDescent="0.3">
      <c r="B989" s="14"/>
      <c r="C989" s="14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</row>
    <row r="990" spans="2:14" x14ac:dyDescent="0.3">
      <c r="B990" s="14"/>
      <c r="C990" s="14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</row>
    <row r="991" spans="2:14" x14ac:dyDescent="0.3">
      <c r="B991" s="14"/>
      <c r="C991" s="14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</row>
    <row r="992" spans="2:14" x14ac:dyDescent="0.3">
      <c r="B992" s="14"/>
      <c r="C992" s="14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</row>
    <row r="993" spans="2:14" x14ac:dyDescent="0.3">
      <c r="B993" s="14"/>
      <c r="C993" s="14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</row>
    <row r="994" spans="2:14" x14ac:dyDescent="0.3">
      <c r="B994" s="14"/>
      <c r="C994" s="14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</row>
    <row r="995" spans="2:14" x14ac:dyDescent="0.3">
      <c r="B995" s="14"/>
      <c r="C995" s="14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</row>
    <row r="996" spans="2:14" x14ac:dyDescent="0.3">
      <c r="B996" s="14"/>
      <c r="C996" s="14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</row>
    <row r="997" spans="2:14" x14ac:dyDescent="0.3">
      <c r="B997" s="14"/>
      <c r="C997" s="14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</row>
    <row r="998" spans="2:14" x14ac:dyDescent="0.3">
      <c r="B998" s="14"/>
      <c r="C998" s="14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</row>
    <row r="999" spans="2:14" x14ac:dyDescent="0.3">
      <c r="B999" s="14"/>
      <c r="C999" s="14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</row>
    <row r="1000" spans="2:14" x14ac:dyDescent="0.3">
      <c r="B1000" s="14"/>
      <c r="C1000" s="14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</row>
    <row r="1001" spans="2:14" x14ac:dyDescent="0.3">
      <c r="B1001" s="14"/>
      <c r="C1001" s="14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</row>
    <row r="1002" spans="2:14" x14ac:dyDescent="0.3">
      <c r="B1002" s="14"/>
      <c r="C1002" s="14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</row>
    <row r="1003" spans="2:14" x14ac:dyDescent="0.3">
      <c r="B1003" s="14"/>
      <c r="C1003" s="14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</row>
    <row r="1004" spans="2:14" x14ac:dyDescent="0.3">
      <c r="B1004" s="14"/>
      <c r="C1004" s="14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</row>
    <row r="1005" spans="2:14" x14ac:dyDescent="0.3">
      <c r="B1005" s="14"/>
      <c r="C1005" s="14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</row>
    <row r="1006" spans="2:14" x14ac:dyDescent="0.3">
      <c r="B1006" s="14"/>
      <c r="C1006" s="14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</row>
    <row r="1007" spans="2:14" x14ac:dyDescent="0.3">
      <c r="B1007" s="14"/>
      <c r="C1007" s="14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</row>
    <row r="1008" spans="2:14" x14ac:dyDescent="0.3">
      <c r="B1008" s="14"/>
      <c r="C1008" s="14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</row>
    <row r="1009" spans="2:14" x14ac:dyDescent="0.3">
      <c r="B1009" s="14"/>
      <c r="C1009" s="14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</row>
    <row r="1010" spans="2:14" x14ac:dyDescent="0.3">
      <c r="B1010" s="14"/>
      <c r="C1010" s="14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</row>
    <row r="1011" spans="2:14" x14ac:dyDescent="0.3">
      <c r="B1011" s="14"/>
      <c r="C1011" s="14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</row>
    <row r="1012" spans="2:14" x14ac:dyDescent="0.3">
      <c r="B1012" s="14"/>
      <c r="C1012" s="14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</row>
    <row r="1013" spans="2:14" x14ac:dyDescent="0.3">
      <c r="B1013" s="14"/>
      <c r="C1013" s="14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</row>
    <row r="1014" spans="2:14" x14ac:dyDescent="0.3">
      <c r="B1014" s="14"/>
      <c r="C1014" s="14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</row>
    <row r="1015" spans="2:14" x14ac:dyDescent="0.3">
      <c r="B1015" s="14"/>
      <c r="C1015" s="14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</row>
    <row r="1016" spans="2:14" x14ac:dyDescent="0.3">
      <c r="B1016" s="14"/>
      <c r="C1016" s="14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</row>
    <row r="1017" spans="2:14" x14ac:dyDescent="0.3">
      <c r="B1017" s="14"/>
      <c r="C1017" s="14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</row>
    <row r="1018" spans="2:14" x14ac:dyDescent="0.3">
      <c r="B1018" s="14"/>
      <c r="C1018" s="14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</row>
    <row r="1019" spans="2:14" x14ac:dyDescent="0.3">
      <c r="B1019" s="14"/>
      <c r="C1019" s="14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</row>
    <row r="1020" spans="2:14" x14ac:dyDescent="0.3">
      <c r="B1020" s="14"/>
      <c r="C1020" s="14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</row>
    <row r="1021" spans="2:14" x14ac:dyDescent="0.3">
      <c r="B1021" s="14"/>
      <c r="C1021" s="14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</row>
    <row r="1022" spans="2:14" x14ac:dyDescent="0.3">
      <c r="B1022" s="14"/>
      <c r="C1022" s="14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</row>
    <row r="1023" spans="2:14" x14ac:dyDescent="0.3">
      <c r="B1023" s="14"/>
      <c r="C1023" s="14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</row>
    <row r="1024" spans="2:14" x14ac:dyDescent="0.3">
      <c r="B1024" s="14"/>
      <c r="C1024" s="14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</row>
    <row r="1025" spans="2:14" x14ac:dyDescent="0.3">
      <c r="B1025" s="14"/>
      <c r="C1025" s="14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</row>
    <row r="1026" spans="2:14" x14ac:dyDescent="0.3">
      <c r="B1026" s="14"/>
      <c r="C1026" s="14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</row>
    <row r="1027" spans="2:14" x14ac:dyDescent="0.3">
      <c r="B1027" s="14"/>
      <c r="C1027" s="14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</row>
    <row r="1028" spans="2:14" x14ac:dyDescent="0.3">
      <c r="B1028" s="14"/>
      <c r="C1028" s="14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</row>
    <row r="1029" spans="2:14" x14ac:dyDescent="0.3">
      <c r="B1029" s="14"/>
      <c r="C1029" s="14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</row>
    <row r="1030" spans="2:14" x14ac:dyDescent="0.3">
      <c r="B1030" s="14"/>
      <c r="C1030" s="14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</row>
    <row r="1031" spans="2:14" x14ac:dyDescent="0.3">
      <c r="B1031" s="14"/>
      <c r="C1031" s="14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</row>
    <row r="1032" spans="2:14" x14ac:dyDescent="0.3">
      <c r="B1032" s="14"/>
      <c r="C1032" s="14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</row>
    <row r="1033" spans="2:14" x14ac:dyDescent="0.3">
      <c r="B1033" s="14"/>
      <c r="C1033" s="14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</row>
    <row r="1034" spans="2:14" x14ac:dyDescent="0.3">
      <c r="B1034" s="14"/>
      <c r="C1034" s="14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</row>
    <row r="1035" spans="2:14" x14ac:dyDescent="0.3">
      <c r="B1035" s="14"/>
      <c r="C1035" s="14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</row>
    <row r="1036" spans="2:14" x14ac:dyDescent="0.3">
      <c r="B1036" s="14"/>
      <c r="C1036" s="14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</row>
    <row r="1037" spans="2:14" x14ac:dyDescent="0.3">
      <c r="B1037" s="14"/>
      <c r="C1037" s="14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</row>
    <row r="1038" spans="2:14" x14ac:dyDescent="0.3">
      <c r="B1038" s="14"/>
      <c r="C1038" s="14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</row>
    <row r="1039" spans="2:14" x14ac:dyDescent="0.3">
      <c r="B1039" s="14"/>
      <c r="C1039" s="14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</row>
    <row r="1040" spans="2:14" x14ac:dyDescent="0.3">
      <c r="B1040" s="14"/>
      <c r="C1040" s="14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</row>
    <row r="1041" spans="2:14" x14ac:dyDescent="0.3">
      <c r="B1041" s="14"/>
      <c r="C1041" s="14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</row>
    <row r="1042" spans="2:14" x14ac:dyDescent="0.3">
      <c r="B1042" s="14"/>
      <c r="C1042" s="14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</row>
    <row r="1043" spans="2:14" x14ac:dyDescent="0.3">
      <c r="B1043" s="14"/>
      <c r="C1043" s="14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</row>
    <row r="1044" spans="2:14" x14ac:dyDescent="0.3">
      <c r="B1044" s="14"/>
      <c r="C1044" s="14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</row>
    <row r="1045" spans="2:14" x14ac:dyDescent="0.3">
      <c r="B1045" s="14"/>
      <c r="C1045" s="14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</row>
    <row r="1046" spans="2:14" x14ac:dyDescent="0.3">
      <c r="B1046" s="14"/>
      <c r="C1046" s="14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</row>
    <row r="1047" spans="2:14" x14ac:dyDescent="0.3">
      <c r="B1047" s="14"/>
      <c r="C1047" s="14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</row>
    <row r="1048" spans="2:14" x14ac:dyDescent="0.3">
      <c r="B1048" s="14"/>
      <c r="C1048" s="14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</row>
    <row r="1049" spans="2:14" x14ac:dyDescent="0.3">
      <c r="B1049" s="14"/>
      <c r="C1049" s="14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</row>
    <row r="1050" spans="2:14" x14ac:dyDescent="0.3">
      <c r="B1050" s="14"/>
      <c r="C1050" s="14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</row>
    <row r="1051" spans="2:14" x14ac:dyDescent="0.3">
      <c r="B1051" s="14"/>
      <c r="C1051" s="14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</row>
    <row r="1052" spans="2:14" x14ac:dyDescent="0.3">
      <c r="B1052" s="14"/>
      <c r="C1052" s="14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</row>
    <row r="1053" spans="2:14" x14ac:dyDescent="0.3">
      <c r="B1053" s="14"/>
      <c r="C1053" s="14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</row>
    <row r="1054" spans="2:14" x14ac:dyDescent="0.3">
      <c r="B1054" s="14"/>
      <c r="C1054" s="14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</row>
    <row r="1055" spans="2:14" x14ac:dyDescent="0.3">
      <c r="B1055" s="14"/>
      <c r="C1055" s="14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</row>
    <row r="1056" spans="2:14" x14ac:dyDescent="0.3">
      <c r="B1056" s="14"/>
      <c r="C1056" s="14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</row>
    <row r="1057" spans="2:14" x14ac:dyDescent="0.3">
      <c r="B1057" s="14"/>
      <c r="C1057" s="14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</row>
    <row r="1058" spans="2:14" x14ac:dyDescent="0.3">
      <c r="B1058" s="14"/>
      <c r="C1058" s="14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</row>
    <row r="1059" spans="2:14" x14ac:dyDescent="0.3">
      <c r="B1059" s="14"/>
      <c r="C1059" s="14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</row>
    <row r="1060" spans="2:14" x14ac:dyDescent="0.3">
      <c r="B1060" s="14"/>
      <c r="C1060" s="14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</row>
    <row r="1061" spans="2:14" x14ac:dyDescent="0.3">
      <c r="B1061" s="14"/>
      <c r="C1061" s="14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</row>
    <row r="1062" spans="2:14" x14ac:dyDescent="0.3">
      <c r="B1062" s="14"/>
      <c r="C1062" s="14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</row>
    <row r="1063" spans="2:14" x14ac:dyDescent="0.3">
      <c r="B1063" s="14"/>
      <c r="C1063" s="14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</row>
    <row r="1064" spans="2:14" x14ac:dyDescent="0.3">
      <c r="B1064" s="14"/>
      <c r="C1064" s="14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</row>
    <row r="1065" spans="2:14" x14ac:dyDescent="0.3">
      <c r="B1065" s="14"/>
      <c r="C1065" s="14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</row>
    <row r="1066" spans="2:14" x14ac:dyDescent="0.3">
      <c r="B1066" s="14"/>
      <c r="C1066" s="14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</row>
    <row r="1067" spans="2:14" x14ac:dyDescent="0.3">
      <c r="B1067" s="14"/>
      <c r="C1067" s="14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</row>
    <row r="1068" spans="2:14" x14ac:dyDescent="0.3">
      <c r="B1068" s="14"/>
      <c r="C1068" s="14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</row>
    <row r="1069" spans="2:14" x14ac:dyDescent="0.3">
      <c r="B1069" s="14"/>
      <c r="C1069" s="14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</row>
    <row r="1070" spans="2:14" x14ac:dyDescent="0.3">
      <c r="B1070" s="14"/>
      <c r="C1070" s="14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</row>
    <row r="1071" spans="2:14" x14ac:dyDescent="0.3">
      <c r="B1071" s="14"/>
      <c r="C1071" s="14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</row>
    <row r="1072" spans="2:14" x14ac:dyDescent="0.3">
      <c r="B1072" s="14"/>
      <c r="C1072" s="14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</row>
    <row r="1073" spans="2:14" x14ac:dyDescent="0.3">
      <c r="B1073" s="14"/>
      <c r="C1073" s="14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</row>
    <row r="1074" spans="2:14" x14ac:dyDescent="0.3">
      <c r="B1074" s="14"/>
      <c r="C1074" s="14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</row>
    <row r="1075" spans="2:14" x14ac:dyDescent="0.3">
      <c r="B1075" s="14"/>
      <c r="C1075" s="14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</row>
    <row r="1076" spans="2:14" x14ac:dyDescent="0.3">
      <c r="B1076" s="14"/>
      <c r="C1076" s="14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</row>
    <row r="1077" spans="2:14" x14ac:dyDescent="0.3">
      <c r="B1077" s="14"/>
      <c r="C1077" s="14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</row>
    <row r="1078" spans="2:14" x14ac:dyDescent="0.3">
      <c r="B1078" s="14"/>
      <c r="C1078" s="14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</row>
    <row r="1079" spans="2:14" x14ac:dyDescent="0.3">
      <c r="B1079" s="14"/>
      <c r="C1079" s="14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</row>
    <row r="1080" spans="2:14" x14ac:dyDescent="0.3">
      <c r="B1080" s="14"/>
      <c r="C1080" s="14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</row>
    <row r="1081" spans="2:14" x14ac:dyDescent="0.3">
      <c r="B1081" s="14"/>
      <c r="C1081" s="14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</row>
    <row r="1082" spans="2:14" x14ac:dyDescent="0.3">
      <c r="B1082" s="14"/>
      <c r="C1082" s="14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</row>
    <row r="1083" spans="2:14" x14ac:dyDescent="0.3">
      <c r="B1083" s="14"/>
      <c r="C1083" s="14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</row>
    <row r="1084" spans="2:14" x14ac:dyDescent="0.3">
      <c r="B1084" s="14"/>
      <c r="C1084" s="14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</row>
    <row r="1085" spans="2:14" x14ac:dyDescent="0.3">
      <c r="B1085" s="14"/>
      <c r="C1085" s="14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</row>
    <row r="1086" spans="2:14" x14ac:dyDescent="0.3">
      <c r="B1086" s="14"/>
      <c r="C1086" s="14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</row>
    <row r="1087" spans="2:14" x14ac:dyDescent="0.3">
      <c r="B1087" s="14"/>
      <c r="C1087" s="14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</row>
    <row r="1088" spans="2:14" x14ac:dyDescent="0.3">
      <c r="B1088" s="14"/>
      <c r="C1088" s="14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</row>
    <row r="1089" spans="2:14" x14ac:dyDescent="0.3">
      <c r="B1089" s="14"/>
      <c r="C1089" s="14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</row>
    <row r="1090" spans="2:14" x14ac:dyDescent="0.3">
      <c r="B1090" s="14"/>
      <c r="C1090" s="14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</row>
    <row r="1091" spans="2:14" x14ac:dyDescent="0.3">
      <c r="B1091" s="14"/>
      <c r="C1091" s="14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</row>
    <row r="1092" spans="2:14" x14ac:dyDescent="0.3">
      <c r="B1092" s="14"/>
      <c r="C1092" s="14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</row>
    <row r="1093" spans="2:14" x14ac:dyDescent="0.3">
      <c r="B1093" s="14"/>
      <c r="C1093" s="14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</row>
    <row r="1094" spans="2:14" x14ac:dyDescent="0.3">
      <c r="B1094" s="14"/>
      <c r="C1094" s="14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</row>
    <row r="1095" spans="2:14" x14ac:dyDescent="0.3">
      <c r="B1095" s="14"/>
      <c r="C1095" s="14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</row>
    <row r="1096" spans="2:14" x14ac:dyDescent="0.3">
      <c r="B1096" s="14"/>
      <c r="C1096" s="14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</row>
    <row r="1097" spans="2:14" x14ac:dyDescent="0.3">
      <c r="B1097" s="14"/>
      <c r="C1097" s="14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</row>
    <row r="1098" spans="2:14" x14ac:dyDescent="0.3">
      <c r="B1098" s="14"/>
      <c r="C1098" s="14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</row>
    <row r="1099" spans="2:14" x14ac:dyDescent="0.3">
      <c r="B1099" s="14"/>
      <c r="C1099" s="14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</row>
    <row r="1100" spans="2:14" x14ac:dyDescent="0.3">
      <c r="B1100" s="14"/>
      <c r="C1100" s="14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</row>
    <row r="1101" spans="2:14" x14ac:dyDescent="0.3">
      <c r="B1101" s="14"/>
      <c r="C1101" s="14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</row>
    <row r="1102" spans="2:14" x14ac:dyDescent="0.3">
      <c r="B1102" s="14"/>
      <c r="C1102" s="14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</row>
    <row r="1103" spans="2:14" x14ac:dyDescent="0.3">
      <c r="B1103" s="14"/>
      <c r="C1103" s="14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</row>
    <row r="1104" spans="2:14" x14ac:dyDescent="0.3">
      <c r="B1104" s="14"/>
      <c r="C1104" s="14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</row>
    <row r="1105" spans="2:14" x14ac:dyDescent="0.3">
      <c r="B1105" s="14"/>
      <c r="C1105" s="14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</row>
    <row r="1106" spans="2:14" x14ac:dyDescent="0.3">
      <c r="B1106" s="14"/>
      <c r="C1106" s="14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</row>
    <row r="1107" spans="2:14" x14ac:dyDescent="0.3">
      <c r="B1107" s="14"/>
      <c r="C1107" s="14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</row>
    <row r="1108" spans="2:14" x14ac:dyDescent="0.3">
      <c r="B1108" s="14"/>
      <c r="C1108" s="14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</row>
    <row r="1109" spans="2:14" x14ac:dyDescent="0.3">
      <c r="B1109" s="14"/>
      <c r="C1109" s="14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</row>
    <row r="1110" spans="2:14" x14ac:dyDescent="0.3">
      <c r="B1110" s="14"/>
      <c r="C1110" s="14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</row>
    <row r="1111" spans="2:14" x14ac:dyDescent="0.3">
      <c r="B1111" s="14"/>
      <c r="C1111" s="14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</row>
    <row r="1112" spans="2:14" x14ac:dyDescent="0.3">
      <c r="B1112" s="14"/>
      <c r="C1112" s="14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</row>
    <row r="1113" spans="2:14" x14ac:dyDescent="0.3">
      <c r="B1113" s="14"/>
      <c r="C1113" s="14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</row>
    <row r="1114" spans="2:14" x14ac:dyDescent="0.3">
      <c r="B1114" s="14"/>
      <c r="C1114" s="14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</row>
    <row r="1115" spans="2:14" x14ac:dyDescent="0.3">
      <c r="B1115" s="14"/>
      <c r="C1115" s="14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</row>
    <row r="1116" spans="2:14" x14ac:dyDescent="0.3">
      <c r="B1116" s="14"/>
      <c r="C1116" s="14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</row>
    <row r="1117" spans="2:14" x14ac:dyDescent="0.3">
      <c r="B1117" s="14"/>
      <c r="C1117" s="14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</row>
    <row r="1118" spans="2:14" x14ac:dyDescent="0.3">
      <c r="B1118" s="14"/>
      <c r="C1118" s="14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</row>
    <row r="1119" spans="2:14" x14ac:dyDescent="0.3">
      <c r="B1119" s="14"/>
      <c r="C1119" s="14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</row>
    <row r="1120" spans="2:14" x14ac:dyDescent="0.3">
      <c r="B1120" s="14"/>
      <c r="C1120" s="14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</row>
    <row r="1121" spans="2:14" x14ac:dyDescent="0.3">
      <c r="B1121" s="14"/>
      <c r="C1121" s="14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</row>
    <row r="1122" spans="2:14" x14ac:dyDescent="0.3">
      <c r="B1122" s="14"/>
      <c r="C1122" s="14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</row>
    <row r="1123" spans="2:14" x14ac:dyDescent="0.3">
      <c r="B1123" s="14"/>
      <c r="C1123" s="14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</row>
    <row r="1124" spans="2:14" x14ac:dyDescent="0.3">
      <c r="B1124" s="14"/>
      <c r="C1124" s="14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</row>
    <row r="1125" spans="2:14" x14ac:dyDescent="0.3">
      <c r="B1125" s="14"/>
      <c r="C1125" s="14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</row>
    <row r="1126" spans="2:14" x14ac:dyDescent="0.3">
      <c r="B1126" s="14"/>
      <c r="C1126" s="14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</row>
    <row r="1127" spans="2:14" x14ac:dyDescent="0.3">
      <c r="B1127" s="14"/>
      <c r="C1127" s="14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</row>
    <row r="1128" spans="2:14" x14ac:dyDescent="0.3">
      <c r="B1128" s="14"/>
      <c r="C1128" s="14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</row>
    <row r="1129" spans="2:14" x14ac:dyDescent="0.3">
      <c r="B1129" s="14"/>
      <c r="C1129" s="14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</row>
    <row r="1130" spans="2:14" x14ac:dyDescent="0.3">
      <c r="B1130" s="14"/>
      <c r="C1130" s="14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</row>
    <row r="1131" spans="2:14" x14ac:dyDescent="0.3">
      <c r="B1131" s="14"/>
      <c r="C1131" s="14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</row>
    <row r="1132" spans="2:14" x14ac:dyDescent="0.3">
      <c r="B1132" s="14"/>
      <c r="C1132" s="14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</row>
    <row r="1133" spans="2:14" x14ac:dyDescent="0.3">
      <c r="B1133" s="14"/>
      <c r="C1133" s="14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</row>
    <row r="1134" spans="2:14" x14ac:dyDescent="0.3">
      <c r="B1134" s="14"/>
      <c r="C1134" s="14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</row>
    <row r="1135" spans="2:14" x14ac:dyDescent="0.3">
      <c r="B1135" s="14"/>
      <c r="C1135" s="14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</row>
    <row r="1136" spans="2:14" x14ac:dyDescent="0.3">
      <c r="B1136" s="14"/>
      <c r="C1136" s="14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</row>
    <row r="1137" spans="2:14" x14ac:dyDescent="0.3">
      <c r="B1137" s="14"/>
      <c r="C1137" s="14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</row>
    <row r="1138" spans="2:14" x14ac:dyDescent="0.3">
      <c r="B1138" s="14"/>
      <c r="C1138" s="14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</row>
    <row r="1139" spans="2:14" x14ac:dyDescent="0.3">
      <c r="B1139" s="14"/>
      <c r="C1139" s="14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</row>
    <row r="1140" spans="2:14" x14ac:dyDescent="0.3">
      <c r="B1140" s="14"/>
      <c r="C1140" s="14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</row>
    <row r="1141" spans="2:14" x14ac:dyDescent="0.3">
      <c r="B1141" s="14"/>
      <c r="C1141" s="14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</row>
    <row r="1142" spans="2:14" x14ac:dyDescent="0.3">
      <c r="B1142" s="14"/>
      <c r="C1142" s="14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</row>
    <row r="1143" spans="2:14" x14ac:dyDescent="0.3">
      <c r="B1143" s="14"/>
      <c r="C1143" s="14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</row>
    <row r="1144" spans="2:14" x14ac:dyDescent="0.3">
      <c r="B1144" s="14"/>
      <c r="C1144" s="14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</row>
    <row r="1145" spans="2:14" x14ac:dyDescent="0.3">
      <c r="B1145" s="14"/>
      <c r="C1145" s="14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</row>
    <row r="1146" spans="2:14" x14ac:dyDescent="0.3">
      <c r="B1146" s="14"/>
      <c r="C1146" s="14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</row>
    <row r="1147" spans="2:14" x14ac:dyDescent="0.3">
      <c r="B1147" s="14"/>
      <c r="C1147" s="14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</row>
    <row r="1148" spans="2:14" x14ac:dyDescent="0.3">
      <c r="B1148" s="14"/>
      <c r="C1148" s="14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</row>
    <row r="1149" spans="2:14" x14ac:dyDescent="0.3">
      <c r="B1149" s="14"/>
      <c r="C1149" s="14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</row>
    <row r="1150" spans="2:14" x14ac:dyDescent="0.3">
      <c r="B1150" s="14"/>
      <c r="C1150" s="14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</row>
    <row r="1151" spans="2:14" x14ac:dyDescent="0.3">
      <c r="B1151" s="14"/>
      <c r="C1151" s="14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</row>
    <row r="1152" spans="2:14" x14ac:dyDescent="0.3">
      <c r="B1152" s="14"/>
      <c r="C1152" s="14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</row>
    <row r="1153" spans="2:14" x14ac:dyDescent="0.3">
      <c r="B1153" s="14"/>
      <c r="C1153" s="14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</row>
    <row r="1154" spans="2:14" x14ac:dyDescent="0.3">
      <c r="B1154" s="14"/>
      <c r="C1154" s="14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</row>
    <row r="1155" spans="2:14" x14ac:dyDescent="0.3">
      <c r="B1155" s="14"/>
      <c r="C1155" s="14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</row>
    <row r="1156" spans="2:14" x14ac:dyDescent="0.3">
      <c r="B1156" s="14"/>
      <c r="C1156" s="14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</row>
    <row r="1157" spans="2:14" x14ac:dyDescent="0.3">
      <c r="B1157" s="14"/>
      <c r="C1157" s="14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</row>
    <row r="1158" spans="2:14" x14ac:dyDescent="0.3">
      <c r="B1158" s="14"/>
      <c r="C1158" s="14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</row>
    <row r="1159" spans="2:14" x14ac:dyDescent="0.3">
      <c r="B1159" s="14"/>
      <c r="C1159" s="14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</row>
    <row r="1160" spans="2:14" x14ac:dyDescent="0.3">
      <c r="B1160" s="14"/>
      <c r="C1160" s="14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</row>
    <row r="1161" spans="2:14" x14ac:dyDescent="0.3">
      <c r="B1161" s="14"/>
      <c r="C1161" s="14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</row>
    <row r="1162" spans="2:14" x14ac:dyDescent="0.3">
      <c r="B1162" s="14"/>
      <c r="C1162" s="14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</row>
    <row r="1163" spans="2:14" x14ac:dyDescent="0.3">
      <c r="B1163" s="14"/>
      <c r="C1163" s="14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</row>
    <row r="1164" spans="2:14" x14ac:dyDescent="0.3">
      <c r="B1164" s="14"/>
      <c r="C1164" s="14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</row>
    <row r="1165" spans="2:14" x14ac:dyDescent="0.3">
      <c r="B1165" s="14"/>
      <c r="C1165" s="14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</row>
    <row r="1166" spans="2:14" x14ac:dyDescent="0.3">
      <c r="B1166" s="14"/>
      <c r="C1166" s="14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</row>
    <row r="1167" spans="2:14" x14ac:dyDescent="0.3">
      <c r="B1167" s="14"/>
      <c r="C1167" s="14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</row>
    <row r="1168" spans="2:14" x14ac:dyDescent="0.3">
      <c r="B1168" s="14"/>
      <c r="C1168" s="14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</row>
    <row r="1169" spans="2:14" x14ac:dyDescent="0.3">
      <c r="B1169" s="14"/>
      <c r="C1169" s="14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</row>
    <row r="1170" spans="2:14" x14ac:dyDescent="0.3">
      <c r="B1170" s="14"/>
      <c r="C1170" s="14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</row>
    <row r="1171" spans="2:14" x14ac:dyDescent="0.3">
      <c r="B1171" s="14"/>
      <c r="C1171" s="14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</row>
    <row r="1172" spans="2:14" x14ac:dyDescent="0.3">
      <c r="B1172" s="14"/>
      <c r="C1172" s="14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</row>
    <row r="1173" spans="2:14" x14ac:dyDescent="0.3">
      <c r="B1173" s="14"/>
      <c r="C1173" s="14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</row>
    <row r="1174" spans="2:14" x14ac:dyDescent="0.3">
      <c r="B1174" s="14"/>
      <c r="C1174" s="14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</row>
    <row r="1175" spans="2:14" x14ac:dyDescent="0.3">
      <c r="B1175" s="14"/>
      <c r="C1175" s="14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</row>
    <row r="1176" spans="2:14" x14ac:dyDescent="0.3">
      <c r="B1176" s="14"/>
      <c r="C1176" s="14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</row>
    <row r="1177" spans="2:14" x14ac:dyDescent="0.3">
      <c r="B1177" s="14"/>
      <c r="C1177" s="14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</row>
    <row r="1178" spans="2:14" x14ac:dyDescent="0.3">
      <c r="B1178" s="14"/>
      <c r="C1178" s="14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</row>
    <row r="1179" spans="2:14" x14ac:dyDescent="0.3">
      <c r="B1179" s="14"/>
      <c r="C1179" s="14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</row>
    <row r="1180" spans="2:14" x14ac:dyDescent="0.3">
      <c r="B1180" s="14"/>
      <c r="C1180" s="14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</row>
    <row r="1181" spans="2:14" x14ac:dyDescent="0.3">
      <c r="B1181" s="14"/>
      <c r="C1181" s="14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</row>
    <row r="1182" spans="2:14" x14ac:dyDescent="0.3">
      <c r="B1182" s="14"/>
      <c r="C1182" s="14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</row>
    <row r="1183" spans="2:14" x14ac:dyDescent="0.3">
      <c r="B1183" s="14"/>
      <c r="C1183" s="14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</row>
    <row r="1184" spans="2:14" x14ac:dyDescent="0.3">
      <c r="B1184" s="14"/>
      <c r="C1184" s="14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</row>
    <row r="1185" spans="2:14" x14ac:dyDescent="0.3">
      <c r="B1185" s="14"/>
      <c r="C1185" s="14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</row>
    <row r="1186" spans="2:14" x14ac:dyDescent="0.3">
      <c r="B1186" s="14"/>
      <c r="C1186" s="14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</row>
    <row r="1187" spans="2:14" x14ac:dyDescent="0.3">
      <c r="B1187" s="14"/>
      <c r="C1187" s="14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</row>
    <row r="1188" spans="2:14" x14ac:dyDescent="0.3">
      <c r="B1188" s="14"/>
      <c r="C1188" s="14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</row>
    <row r="1189" spans="2:14" x14ac:dyDescent="0.3">
      <c r="B1189" s="14"/>
      <c r="C1189" s="14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</row>
    <row r="1190" spans="2:14" x14ac:dyDescent="0.3">
      <c r="B1190" s="14"/>
      <c r="C1190" s="14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</row>
    <row r="1191" spans="2:14" x14ac:dyDescent="0.3">
      <c r="B1191" s="14"/>
      <c r="C1191" s="14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</row>
    <row r="1192" spans="2:14" x14ac:dyDescent="0.3">
      <c r="B1192" s="14"/>
      <c r="C1192" s="14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</row>
    <row r="1193" spans="2:14" x14ac:dyDescent="0.3">
      <c r="B1193" s="14"/>
      <c r="C1193" s="14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</row>
    <row r="1194" spans="2:14" x14ac:dyDescent="0.3">
      <c r="B1194" s="14"/>
      <c r="C1194" s="14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</row>
    <row r="1195" spans="2:14" x14ac:dyDescent="0.3">
      <c r="B1195" s="14"/>
      <c r="C1195" s="14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</row>
    <row r="1196" spans="2:14" x14ac:dyDescent="0.3">
      <c r="B1196" s="14"/>
      <c r="C1196" s="14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</row>
    <row r="1197" spans="2:14" x14ac:dyDescent="0.3">
      <c r="B1197" s="14"/>
      <c r="C1197" s="14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</row>
    <row r="1198" spans="2:14" x14ac:dyDescent="0.3">
      <c r="B1198" s="14"/>
      <c r="C1198" s="14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</row>
    <row r="1199" spans="2:14" x14ac:dyDescent="0.3">
      <c r="B1199" s="14"/>
      <c r="C1199" s="14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</row>
    <row r="1200" spans="2:14" x14ac:dyDescent="0.3">
      <c r="B1200" s="14"/>
      <c r="C1200" s="14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</row>
    <row r="1201" spans="2:14" x14ac:dyDescent="0.3">
      <c r="B1201" s="14"/>
      <c r="C1201" s="14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</row>
    <row r="1202" spans="2:14" x14ac:dyDescent="0.3">
      <c r="B1202" s="14"/>
      <c r="C1202" s="14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</row>
    <row r="1203" spans="2:14" x14ac:dyDescent="0.3">
      <c r="B1203" s="14"/>
      <c r="C1203" s="14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</row>
    <row r="1204" spans="2:14" x14ac:dyDescent="0.3">
      <c r="B1204" s="14"/>
      <c r="C1204" s="14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</row>
    <row r="1205" spans="2:14" x14ac:dyDescent="0.3">
      <c r="B1205" s="14"/>
      <c r="C1205" s="14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</row>
    <row r="1206" spans="2:14" x14ac:dyDescent="0.3">
      <c r="B1206" s="14"/>
      <c r="C1206" s="14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</row>
    <row r="1207" spans="2:14" x14ac:dyDescent="0.3">
      <c r="B1207" s="14"/>
      <c r="C1207" s="14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</row>
    <row r="1208" spans="2:14" x14ac:dyDescent="0.3">
      <c r="B1208" s="14"/>
      <c r="C1208" s="14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</row>
    <row r="1209" spans="2:14" x14ac:dyDescent="0.3">
      <c r="B1209" s="14"/>
      <c r="C1209" s="14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</row>
    <row r="1210" spans="2:14" x14ac:dyDescent="0.3">
      <c r="B1210" s="14"/>
      <c r="C1210" s="14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</row>
    <row r="1211" spans="2:14" x14ac:dyDescent="0.3">
      <c r="B1211" s="14"/>
      <c r="C1211" s="14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</row>
    <row r="1212" spans="2:14" x14ac:dyDescent="0.3">
      <c r="B1212" s="14"/>
      <c r="C1212" s="14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</row>
    <row r="1213" spans="2:14" x14ac:dyDescent="0.3">
      <c r="B1213" s="14"/>
      <c r="C1213" s="14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</row>
    <row r="1214" spans="2:14" x14ac:dyDescent="0.3">
      <c r="B1214" s="14"/>
      <c r="C1214" s="14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</row>
    <row r="1215" spans="2:14" x14ac:dyDescent="0.3">
      <c r="B1215" s="14"/>
      <c r="C1215" s="14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</row>
    <row r="1216" spans="2:14" x14ac:dyDescent="0.3">
      <c r="B1216" s="14"/>
      <c r="C1216" s="14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</row>
    <row r="1217" spans="2:14" x14ac:dyDescent="0.3">
      <c r="B1217" s="14"/>
      <c r="C1217" s="14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</row>
    <row r="1218" spans="2:14" x14ac:dyDescent="0.3">
      <c r="B1218" s="14"/>
      <c r="C1218" s="14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</row>
    <row r="1219" spans="2:14" x14ac:dyDescent="0.3">
      <c r="B1219" s="14"/>
      <c r="C1219" s="14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</row>
    <row r="1220" spans="2:14" x14ac:dyDescent="0.3">
      <c r="B1220" s="14"/>
      <c r="C1220" s="14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</row>
    <row r="1221" spans="2:14" x14ac:dyDescent="0.3">
      <c r="B1221" s="14"/>
      <c r="C1221" s="14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</row>
    <row r="1222" spans="2:14" x14ac:dyDescent="0.3">
      <c r="B1222" s="14"/>
      <c r="C1222" s="14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</row>
    <row r="1223" spans="2:14" x14ac:dyDescent="0.3">
      <c r="B1223" s="14"/>
      <c r="C1223" s="14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</row>
    <row r="1224" spans="2:14" x14ac:dyDescent="0.3">
      <c r="B1224" s="14"/>
      <c r="C1224" s="14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</row>
    <row r="1225" spans="2:14" x14ac:dyDescent="0.3">
      <c r="B1225" s="14"/>
      <c r="C1225" s="14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</row>
    <row r="1226" spans="2:14" x14ac:dyDescent="0.3">
      <c r="B1226" s="14"/>
      <c r="C1226" s="14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</row>
    <row r="1227" spans="2:14" x14ac:dyDescent="0.3">
      <c r="B1227" s="14"/>
      <c r="C1227" s="14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</row>
    <row r="1228" spans="2:14" x14ac:dyDescent="0.3">
      <c r="B1228" s="14"/>
      <c r="C1228" s="14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</row>
    <row r="1229" spans="2:14" x14ac:dyDescent="0.3">
      <c r="B1229" s="14"/>
      <c r="C1229" s="14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</row>
    <row r="1230" spans="2:14" x14ac:dyDescent="0.3">
      <c r="B1230" s="14"/>
      <c r="C1230" s="14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</row>
    <row r="1231" spans="2:14" x14ac:dyDescent="0.3">
      <c r="B1231" s="14"/>
      <c r="C1231" s="14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</row>
    <row r="1232" spans="2:14" x14ac:dyDescent="0.3">
      <c r="B1232" s="14"/>
      <c r="C1232" s="14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</row>
    <row r="1233" spans="2:14" x14ac:dyDescent="0.3">
      <c r="B1233" s="14"/>
      <c r="C1233" s="14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</row>
    <row r="1234" spans="2:14" x14ac:dyDescent="0.3">
      <c r="B1234" s="14"/>
      <c r="C1234" s="14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</row>
    <row r="1235" spans="2:14" x14ac:dyDescent="0.3">
      <c r="B1235" s="14"/>
      <c r="C1235" s="14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</row>
    <row r="1236" spans="2:14" x14ac:dyDescent="0.3">
      <c r="B1236" s="14"/>
      <c r="C1236" s="14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</row>
    <row r="1237" spans="2:14" x14ac:dyDescent="0.3">
      <c r="B1237" s="14"/>
      <c r="C1237" s="14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</row>
    <row r="1238" spans="2:14" x14ac:dyDescent="0.3">
      <c r="B1238" s="14"/>
      <c r="C1238" s="14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</row>
    <row r="1239" spans="2:14" x14ac:dyDescent="0.3">
      <c r="B1239" s="14"/>
      <c r="C1239" s="14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</row>
    <row r="1240" spans="2:14" x14ac:dyDescent="0.3">
      <c r="B1240" s="14"/>
      <c r="C1240" s="14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</row>
    <row r="1241" spans="2:14" x14ac:dyDescent="0.3">
      <c r="B1241" s="14"/>
      <c r="C1241" s="14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</row>
    <row r="1242" spans="2:14" x14ac:dyDescent="0.3">
      <c r="B1242" s="14"/>
      <c r="C1242" s="14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</row>
    <row r="1243" spans="2:14" x14ac:dyDescent="0.3">
      <c r="B1243" s="14"/>
      <c r="C1243" s="14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</row>
    <row r="1244" spans="2:14" x14ac:dyDescent="0.3">
      <c r="B1244" s="14"/>
      <c r="C1244" s="14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</row>
    <row r="1245" spans="2:14" x14ac:dyDescent="0.3">
      <c r="B1245" s="14"/>
      <c r="C1245" s="14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</row>
    <row r="1246" spans="2:14" x14ac:dyDescent="0.3">
      <c r="B1246" s="14"/>
      <c r="C1246" s="14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</row>
    <row r="1247" spans="2:14" x14ac:dyDescent="0.3">
      <c r="B1247" s="14"/>
      <c r="C1247" s="14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</row>
    <row r="1248" spans="2:14" x14ac:dyDescent="0.3">
      <c r="B1248" s="14"/>
      <c r="C1248" s="14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</row>
    <row r="1249" spans="2:14" x14ac:dyDescent="0.3">
      <c r="B1249" s="14"/>
      <c r="C1249" s="14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</row>
    <row r="1250" spans="2:14" x14ac:dyDescent="0.3">
      <c r="B1250" s="14"/>
      <c r="C1250" s="14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</row>
    <row r="1251" spans="2:14" x14ac:dyDescent="0.3">
      <c r="B1251" s="14"/>
      <c r="C1251" s="14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</row>
    <row r="1252" spans="2:14" x14ac:dyDescent="0.3">
      <c r="B1252" s="14"/>
      <c r="C1252" s="14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</row>
    <row r="1253" spans="2:14" x14ac:dyDescent="0.3">
      <c r="B1253" s="14"/>
      <c r="C1253" s="14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</row>
    <row r="1254" spans="2:14" x14ac:dyDescent="0.3">
      <c r="B1254" s="14"/>
      <c r="C1254" s="14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</row>
    <row r="1255" spans="2:14" x14ac:dyDescent="0.3">
      <c r="B1255" s="14"/>
      <c r="C1255" s="14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</row>
    <row r="1256" spans="2:14" x14ac:dyDescent="0.3">
      <c r="B1256" s="14"/>
      <c r="C1256" s="14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</row>
    <row r="1257" spans="2:14" x14ac:dyDescent="0.3">
      <c r="B1257" s="14"/>
      <c r="C1257" s="14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</row>
    <row r="1258" spans="2:14" x14ac:dyDescent="0.3">
      <c r="B1258" s="14"/>
      <c r="C1258" s="14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</row>
    <row r="1259" spans="2:14" x14ac:dyDescent="0.3">
      <c r="B1259" s="14"/>
      <c r="C1259" s="14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</row>
    <row r="1260" spans="2:14" x14ac:dyDescent="0.3">
      <c r="B1260" s="14"/>
      <c r="C1260" s="14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</row>
    <row r="1261" spans="2:14" x14ac:dyDescent="0.3">
      <c r="B1261" s="14"/>
      <c r="C1261" s="14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</row>
    <row r="1262" spans="2:14" x14ac:dyDescent="0.3">
      <c r="B1262" s="14"/>
      <c r="C1262" s="14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</row>
    <row r="1263" spans="2:14" x14ac:dyDescent="0.3">
      <c r="B1263" s="14"/>
      <c r="C1263" s="14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</row>
    <row r="1264" spans="2:14" x14ac:dyDescent="0.3">
      <c r="B1264" s="14"/>
      <c r="C1264" s="14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</row>
    <row r="1265" spans="2:14" x14ac:dyDescent="0.3">
      <c r="B1265" s="14"/>
      <c r="C1265" s="14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</row>
    <row r="1266" spans="2:14" x14ac:dyDescent="0.3">
      <c r="B1266" s="14"/>
      <c r="C1266" s="14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</row>
    <row r="1267" spans="2:14" x14ac:dyDescent="0.3">
      <c r="B1267" s="14"/>
      <c r="C1267" s="14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</row>
    <row r="1268" spans="2:14" x14ac:dyDescent="0.3">
      <c r="B1268" s="14"/>
      <c r="C1268" s="14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</row>
    <row r="1269" spans="2:14" x14ac:dyDescent="0.3">
      <c r="B1269" s="14"/>
      <c r="C1269" s="14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</row>
    <row r="1270" spans="2:14" x14ac:dyDescent="0.3">
      <c r="B1270" s="14"/>
      <c r="C1270" s="14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</row>
    <row r="1271" spans="2:14" x14ac:dyDescent="0.3">
      <c r="B1271" s="14"/>
      <c r="C1271" s="14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</row>
    <row r="1272" spans="2:14" x14ac:dyDescent="0.3">
      <c r="B1272" s="14"/>
      <c r="C1272" s="14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</row>
    <row r="1273" spans="2:14" x14ac:dyDescent="0.3">
      <c r="B1273" s="14"/>
      <c r="C1273" s="14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</row>
    <row r="1274" spans="2:14" x14ac:dyDescent="0.3">
      <c r="B1274" s="14"/>
      <c r="C1274" s="14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</row>
    <row r="1275" spans="2:14" x14ac:dyDescent="0.3">
      <c r="B1275" s="14"/>
      <c r="C1275" s="14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</row>
    <row r="1276" spans="2:14" x14ac:dyDescent="0.3">
      <c r="B1276" s="14"/>
      <c r="C1276" s="14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</row>
    <row r="1277" spans="2:14" x14ac:dyDescent="0.3">
      <c r="B1277" s="14"/>
      <c r="C1277" s="14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</row>
    <row r="1278" spans="2:14" x14ac:dyDescent="0.3">
      <c r="B1278" s="14"/>
      <c r="C1278" s="14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</row>
    <row r="1279" spans="2:14" x14ac:dyDescent="0.3">
      <c r="B1279" s="14"/>
      <c r="C1279" s="14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</row>
    <row r="1280" spans="2:14" x14ac:dyDescent="0.3">
      <c r="B1280" s="14"/>
      <c r="C1280" s="14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</row>
    <row r="1281" spans="2:14" x14ac:dyDescent="0.3">
      <c r="B1281" s="14"/>
      <c r="C1281" s="14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</row>
    <row r="1282" spans="2:14" x14ac:dyDescent="0.3">
      <c r="B1282" s="14"/>
      <c r="C1282" s="14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</row>
    <row r="1283" spans="2:14" x14ac:dyDescent="0.3">
      <c r="B1283" s="14"/>
      <c r="C1283" s="14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</row>
    <row r="1284" spans="2:14" x14ac:dyDescent="0.3">
      <c r="B1284" s="14"/>
      <c r="C1284" s="14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</row>
    <row r="1285" spans="2:14" x14ac:dyDescent="0.3">
      <c r="B1285" s="14"/>
      <c r="C1285" s="14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</row>
    <row r="1286" spans="2:14" x14ac:dyDescent="0.3">
      <c r="B1286" s="14"/>
      <c r="C1286" s="14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</row>
    <row r="1287" spans="2:14" x14ac:dyDescent="0.3">
      <c r="B1287" s="14"/>
      <c r="C1287" s="14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</row>
    <row r="1288" spans="2:14" x14ac:dyDescent="0.3">
      <c r="B1288" s="14"/>
      <c r="C1288" s="14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</row>
    <row r="1289" spans="2:14" x14ac:dyDescent="0.3">
      <c r="B1289" s="14"/>
      <c r="C1289" s="14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</row>
    <row r="1290" spans="2:14" x14ac:dyDescent="0.3">
      <c r="B1290" s="14"/>
      <c r="C1290" s="14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</row>
    <row r="1291" spans="2:14" x14ac:dyDescent="0.3">
      <c r="B1291" s="14"/>
      <c r="C1291" s="14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</row>
    <row r="1292" spans="2:14" x14ac:dyDescent="0.3">
      <c r="B1292" s="14"/>
      <c r="C1292" s="14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</row>
    <row r="1293" spans="2:14" x14ac:dyDescent="0.3">
      <c r="B1293" s="14"/>
      <c r="C1293" s="14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</row>
    <row r="1294" spans="2:14" x14ac:dyDescent="0.3">
      <c r="B1294" s="14"/>
      <c r="C1294" s="14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</row>
    <row r="1295" spans="2:14" x14ac:dyDescent="0.3">
      <c r="B1295" s="14"/>
      <c r="C1295" s="14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</row>
    <row r="1296" spans="2:14" x14ac:dyDescent="0.3">
      <c r="B1296" s="14"/>
      <c r="C1296" s="14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</row>
    <row r="1297" spans="2:14" x14ac:dyDescent="0.3">
      <c r="B1297" s="14"/>
      <c r="C1297" s="14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</row>
    <row r="1298" spans="2:14" x14ac:dyDescent="0.3">
      <c r="B1298" s="14"/>
      <c r="C1298" s="14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</row>
    <row r="1299" spans="2:14" x14ac:dyDescent="0.3">
      <c r="B1299" s="14"/>
      <c r="C1299" s="14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</row>
    <row r="1300" spans="2:14" x14ac:dyDescent="0.3">
      <c r="B1300" s="14"/>
      <c r="C1300" s="14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</row>
    <row r="1301" spans="2:14" x14ac:dyDescent="0.3">
      <c r="B1301" s="14"/>
      <c r="C1301" s="14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</row>
    <row r="1302" spans="2:14" x14ac:dyDescent="0.3">
      <c r="B1302" s="14"/>
      <c r="C1302" s="14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</row>
    <row r="1303" spans="2:14" x14ac:dyDescent="0.3">
      <c r="B1303" s="14"/>
      <c r="C1303" s="14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</row>
    <row r="1304" spans="2:14" x14ac:dyDescent="0.3">
      <c r="B1304" s="14"/>
      <c r="C1304" s="14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</row>
    <row r="1305" spans="2:14" x14ac:dyDescent="0.3">
      <c r="B1305" s="14"/>
      <c r="C1305" s="14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</row>
    <row r="1306" spans="2:14" x14ac:dyDescent="0.3">
      <c r="B1306" s="14"/>
      <c r="C1306" s="14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</row>
    <row r="1307" spans="2:14" x14ac:dyDescent="0.3">
      <c r="B1307" s="14"/>
      <c r="C1307" s="14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</row>
    <row r="1308" spans="2:14" x14ac:dyDescent="0.3">
      <c r="B1308" s="14"/>
      <c r="C1308" s="14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</row>
    <row r="1309" spans="2:14" x14ac:dyDescent="0.3">
      <c r="B1309" s="14"/>
      <c r="C1309" s="14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</row>
    <row r="1310" spans="2:14" x14ac:dyDescent="0.3">
      <c r="B1310" s="14"/>
      <c r="C1310" s="14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</row>
    <row r="1311" spans="2:14" x14ac:dyDescent="0.3">
      <c r="B1311" s="14"/>
      <c r="C1311" s="14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</row>
    <row r="1312" spans="2:14" x14ac:dyDescent="0.3">
      <c r="B1312" s="14"/>
      <c r="C1312" s="14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</row>
    <row r="1313" spans="2:14" x14ac:dyDescent="0.3">
      <c r="B1313" s="14"/>
      <c r="C1313" s="14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</row>
    <row r="1314" spans="2:14" x14ac:dyDescent="0.3">
      <c r="B1314" s="14"/>
      <c r="C1314" s="14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</row>
    <row r="1315" spans="2:14" x14ac:dyDescent="0.3">
      <c r="B1315" s="14"/>
      <c r="C1315" s="14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</row>
    <row r="1316" spans="2:14" x14ac:dyDescent="0.3">
      <c r="B1316" s="14"/>
      <c r="C1316" s="14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</row>
    <row r="1317" spans="2:14" x14ac:dyDescent="0.3">
      <c r="B1317" s="14"/>
      <c r="C1317" s="14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</row>
    <row r="1318" spans="2:14" x14ac:dyDescent="0.3">
      <c r="B1318" s="14"/>
      <c r="C1318" s="14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</row>
    <row r="1319" spans="2:14" x14ac:dyDescent="0.3">
      <c r="B1319" s="14"/>
      <c r="C1319" s="14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</row>
    <row r="1320" spans="2:14" x14ac:dyDescent="0.3">
      <c r="B1320" s="14"/>
      <c r="C1320" s="14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</row>
    <row r="1321" spans="2:14" x14ac:dyDescent="0.3">
      <c r="B1321" s="14"/>
      <c r="C1321" s="14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</row>
    <row r="1322" spans="2:14" x14ac:dyDescent="0.3">
      <c r="B1322" s="14"/>
      <c r="C1322" s="14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</row>
    <row r="1323" spans="2:14" x14ac:dyDescent="0.3">
      <c r="B1323" s="14"/>
      <c r="C1323" s="14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</row>
    <row r="1324" spans="2:14" x14ac:dyDescent="0.3">
      <c r="B1324" s="14"/>
      <c r="C1324" s="14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</row>
    <row r="1325" spans="2:14" x14ac:dyDescent="0.3">
      <c r="B1325" s="14"/>
      <c r="C1325" s="14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</row>
    <row r="1326" spans="2:14" x14ac:dyDescent="0.3">
      <c r="B1326" s="14"/>
      <c r="C1326" s="14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</row>
    <row r="1327" spans="2:14" x14ac:dyDescent="0.3">
      <c r="B1327" s="14"/>
      <c r="C1327" s="14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</row>
    <row r="1328" spans="2:14" x14ac:dyDescent="0.3">
      <c r="B1328" s="14"/>
      <c r="C1328" s="14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</row>
    <row r="1329" spans="2:14" x14ac:dyDescent="0.3">
      <c r="B1329" s="14"/>
      <c r="C1329" s="14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</row>
    <row r="1330" spans="2:14" x14ac:dyDescent="0.3">
      <c r="B1330" s="14"/>
      <c r="C1330" s="14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</row>
    <row r="1331" spans="2:14" x14ac:dyDescent="0.3">
      <c r="B1331" s="14"/>
      <c r="C1331" s="14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</row>
    <row r="1332" spans="2:14" x14ac:dyDescent="0.3">
      <c r="B1332" s="14"/>
      <c r="C1332" s="14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</row>
    <row r="1333" spans="2:14" x14ac:dyDescent="0.3">
      <c r="B1333" s="14"/>
      <c r="C1333" s="14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</row>
    <row r="1334" spans="2:14" x14ac:dyDescent="0.3">
      <c r="B1334" s="14"/>
      <c r="C1334" s="14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</row>
    <row r="1335" spans="2:14" x14ac:dyDescent="0.3">
      <c r="B1335" s="14"/>
      <c r="C1335" s="14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</row>
    <row r="1336" spans="2:14" x14ac:dyDescent="0.3">
      <c r="B1336" s="14"/>
      <c r="C1336" s="14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</row>
    <row r="1337" spans="2:14" x14ac:dyDescent="0.3">
      <c r="B1337" s="14"/>
      <c r="C1337" s="14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</row>
    <row r="1338" spans="2:14" x14ac:dyDescent="0.3">
      <c r="B1338" s="14"/>
      <c r="C1338" s="14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</row>
    <row r="1339" spans="2:14" x14ac:dyDescent="0.3">
      <c r="B1339" s="14"/>
      <c r="C1339" s="14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</row>
    <row r="1340" spans="2:14" x14ac:dyDescent="0.3">
      <c r="B1340" s="14"/>
      <c r="C1340" s="14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</row>
    <row r="1341" spans="2:14" x14ac:dyDescent="0.3">
      <c r="B1341" s="14"/>
      <c r="C1341" s="14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</row>
    <row r="1342" spans="2:14" x14ac:dyDescent="0.3">
      <c r="B1342" s="14"/>
      <c r="C1342" s="14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</row>
    <row r="1343" spans="2:14" x14ac:dyDescent="0.3">
      <c r="B1343" s="14"/>
      <c r="C1343" s="14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</row>
    <row r="1344" spans="2:14" x14ac:dyDescent="0.3">
      <c r="B1344" s="14"/>
      <c r="C1344" s="14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</row>
    <row r="1345" spans="2:14" x14ac:dyDescent="0.3">
      <c r="B1345" s="14"/>
      <c r="C1345" s="14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</row>
    <row r="1346" spans="2:14" x14ac:dyDescent="0.3">
      <c r="B1346" s="14"/>
      <c r="C1346" s="14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</row>
    <row r="1347" spans="2:14" x14ac:dyDescent="0.3">
      <c r="B1347" s="14"/>
      <c r="C1347" s="14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</row>
    <row r="1348" spans="2:14" x14ac:dyDescent="0.3">
      <c r="B1348" s="14"/>
      <c r="C1348" s="14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</row>
    <row r="1349" spans="2:14" x14ac:dyDescent="0.3">
      <c r="B1349" s="14"/>
      <c r="C1349" s="14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</row>
    <row r="1350" spans="2:14" x14ac:dyDescent="0.3">
      <c r="B1350" s="14"/>
      <c r="C1350" s="14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</row>
    <row r="1351" spans="2:14" x14ac:dyDescent="0.3">
      <c r="B1351" s="14"/>
      <c r="C1351" s="14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</row>
    <row r="1352" spans="2:14" x14ac:dyDescent="0.3">
      <c r="B1352" s="14"/>
      <c r="C1352" s="14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</row>
    <row r="1353" spans="2:14" x14ac:dyDescent="0.3">
      <c r="B1353" s="14"/>
      <c r="C1353" s="14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</row>
    <row r="1354" spans="2:14" x14ac:dyDescent="0.3">
      <c r="B1354" s="14"/>
      <c r="C1354" s="14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</row>
    <row r="1355" spans="2:14" x14ac:dyDescent="0.3">
      <c r="B1355" s="14"/>
      <c r="C1355" s="14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</row>
    <row r="1356" spans="2:14" x14ac:dyDescent="0.3">
      <c r="B1356" s="14"/>
      <c r="C1356" s="14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</row>
    <row r="1357" spans="2:14" x14ac:dyDescent="0.3">
      <c r="B1357" s="14"/>
      <c r="C1357" s="14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</row>
    <row r="1358" spans="2:14" x14ac:dyDescent="0.3">
      <c r="B1358" s="14"/>
      <c r="C1358" s="14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</row>
    <row r="1359" spans="2:14" x14ac:dyDescent="0.3">
      <c r="B1359" s="14"/>
      <c r="C1359" s="14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</row>
    <row r="1360" spans="2:14" x14ac:dyDescent="0.3">
      <c r="B1360" s="14"/>
      <c r="C1360" s="14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</row>
    <row r="1361" spans="2:14" x14ac:dyDescent="0.3">
      <c r="B1361" s="14"/>
      <c r="C1361" s="14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</row>
    <row r="1362" spans="2:14" x14ac:dyDescent="0.3">
      <c r="B1362" s="14"/>
      <c r="C1362" s="14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</row>
    <row r="1363" spans="2:14" x14ac:dyDescent="0.3">
      <c r="B1363" s="14"/>
      <c r="C1363" s="14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</row>
    <row r="1364" spans="2:14" x14ac:dyDescent="0.3">
      <c r="B1364" s="14"/>
      <c r="C1364" s="14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</row>
    <row r="1365" spans="2:14" x14ac:dyDescent="0.3">
      <c r="B1365" s="14"/>
      <c r="C1365" s="14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</row>
    <row r="1366" spans="2:14" x14ac:dyDescent="0.3">
      <c r="B1366" s="14"/>
      <c r="C1366" s="14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</row>
    <row r="1367" spans="2:14" x14ac:dyDescent="0.3">
      <c r="B1367" s="14"/>
      <c r="C1367" s="14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</row>
    <row r="1368" spans="2:14" x14ac:dyDescent="0.3">
      <c r="B1368" s="14"/>
      <c r="C1368" s="14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</row>
    <row r="1369" spans="2:14" x14ac:dyDescent="0.3">
      <c r="B1369" s="14"/>
      <c r="C1369" s="14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</row>
    <row r="1370" spans="2:14" x14ac:dyDescent="0.3">
      <c r="B1370" s="14"/>
      <c r="C1370" s="14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</row>
    <row r="1371" spans="2:14" x14ac:dyDescent="0.3">
      <c r="B1371" s="14"/>
      <c r="C1371" s="14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</row>
    <row r="1372" spans="2:14" x14ac:dyDescent="0.3">
      <c r="B1372" s="14"/>
      <c r="C1372" s="14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</row>
    <row r="1373" spans="2:14" x14ac:dyDescent="0.3">
      <c r="B1373" s="14"/>
      <c r="C1373" s="14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</row>
    <row r="1374" spans="2:14" x14ac:dyDescent="0.3">
      <c r="B1374" s="14"/>
      <c r="C1374" s="14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</row>
    <row r="1375" spans="2:14" x14ac:dyDescent="0.3">
      <c r="B1375" s="14"/>
      <c r="C1375" s="14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</row>
    <row r="1376" spans="2:14" x14ac:dyDescent="0.3">
      <c r="B1376" s="14"/>
      <c r="C1376" s="14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</row>
    <row r="1377" spans="2:14" x14ac:dyDescent="0.3">
      <c r="B1377" s="14"/>
      <c r="C1377" s="14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</row>
    <row r="1378" spans="2:14" x14ac:dyDescent="0.3">
      <c r="B1378" s="14"/>
      <c r="C1378" s="14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</row>
    <row r="1379" spans="2:14" x14ac:dyDescent="0.3">
      <c r="B1379" s="14"/>
      <c r="C1379" s="14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</row>
    <row r="1380" spans="2:14" x14ac:dyDescent="0.3">
      <c r="B1380" s="14"/>
      <c r="C1380" s="14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</row>
    <row r="1381" spans="2:14" x14ac:dyDescent="0.3">
      <c r="B1381" s="14"/>
      <c r="C1381" s="14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</row>
    <row r="1382" spans="2:14" x14ac:dyDescent="0.3">
      <c r="B1382" s="14"/>
      <c r="C1382" s="14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</row>
    <row r="1383" spans="2:14" x14ac:dyDescent="0.3">
      <c r="B1383" s="14"/>
      <c r="C1383" s="14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</row>
    <row r="1384" spans="2:14" x14ac:dyDescent="0.3">
      <c r="B1384" s="14"/>
      <c r="C1384" s="14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</row>
    <row r="1385" spans="2:14" x14ac:dyDescent="0.3">
      <c r="B1385" s="14"/>
      <c r="C1385" s="14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</row>
    <row r="1386" spans="2:14" x14ac:dyDescent="0.3">
      <c r="B1386" s="14"/>
      <c r="C1386" s="14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</row>
    <row r="1387" spans="2:14" x14ac:dyDescent="0.3">
      <c r="B1387" s="14"/>
      <c r="C1387" s="14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</row>
    <row r="1388" spans="2:14" x14ac:dyDescent="0.3">
      <c r="B1388" s="14"/>
      <c r="C1388" s="14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</row>
    <row r="1389" spans="2:14" x14ac:dyDescent="0.3">
      <c r="B1389" s="14"/>
      <c r="C1389" s="14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</row>
    <row r="1390" spans="2:14" x14ac:dyDescent="0.3">
      <c r="B1390" s="14"/>
      <c r="C1390" s="14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</row>
    <row r="1391" spans="2:14" x14ac:dyDescent="0.3">
      <c r="B1391" s="14"/>
      <c r="C1391" s="14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</row>
    <row r="1392" spans="2:14" x14ac:dyDescent="0.3">
      <c r="B1392" s="14"/>
      <c r="C1392" s="14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</row>
    <row r="1393" spans="2:14" x14ac:dyDescent="0.3">
      <c r="B1393" s="14"/>
      <c r="C1393" s="14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</row>
    <row r="1394" spans="2:14" x14ac:dyDescent="0.3">
      <c r="B1394" s="14"/>
      <c r="C1394" s="14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</row>
    <row r="1395" spans="2:14" x14ac:dyDescent="0.3">
      <c r="B1395" s="14"/>
      <c r="C1395" s="14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</row>
    <row r="1396" spans="2:14" x14ac:dyDescent="0.3">
      <c r="B1396" s="14"/>
      <c r="C1396" s="14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</row>
    <row r="1397" spans="2:14" x14ac:dyDescent="0.3">
      <c r="B1397" s="14"/>
      <c r="C1397" s="14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</row>
    <row r="1398" spans="2:14" x14ac:dyDescent="0.3">
      <c r="B1398" s="14"/>
      <c r="C1398" s="14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</row>
    <row r="1399" spans="2:14" x14ac:dyDescent="0.3">
      <c r="B1399" s="14"/>
      <c r="C1399" s="14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</row>
    <row r="1400" spans="2:14" x14ac:dyDescent="0.3">
      <c r="B1400" s="14"/>
      <c r="C1400" s="14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</row>
    <row r="1401" spans="2:14" x14ac:dyDescent="0.3">
      <c r="B1401" s="14"/>
      <c r="C1401" s="14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</row>
    <row r="1402" spans="2:14" x14ac:dyDescent="0.3">
      <c r="B1402" s="14"/>
      <c r="C1402" s="14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</row>
    <row r="1403" spans="2:14" x14ac:dyDescent="0.3">
      <c r="B1403" s="14"/>
      <c r="C1403" s="14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</row>
    <row r="1404" spans="2:14" x14ac:dyDescent="0.3">
      <c r="B1404" s="14"/>
      <c r="C1404" s="14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</row>
    <row r="1405" spans="2:14" x14ac:dyDescent="0.3">
      <c r="B1405" s="14"/>
      <c r="C1405" s="14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</row>
    <row r="1406" spans="2:14" x14ac:dyDescent="0.3">
      <c r="B1406" s="14"/>
      <c r="C1406" s="14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</row>
    <row r="1407" spans="2:14" x14ac:dyDescent="0.3">
      <c r="B1407" s="14"/>
      <c r="C1407" s="14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</row>
    <row r="1408" spans="2:14" x14ac:dyDescent="0.3">
      <c r="B1408" s="14"/>
      <c r="C1408" s="14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</row>
    <row r="1409" spans="2:14" x14ac:dyDescent="0.3">
      <c r="B1409" s="14"/>
      <c r="C1409" s="14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</row>
    <row r="1410" spans="2:14" x14ac:dyDescent="0.3">
      <c r="B1410" s="14"/>
      <c r="C1410" s="14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</row>
    <row r="1411" spans="2:14" x14ac:dyDescent="0.3">
      <c r="B1411" s="14"/>
      <c r="C1411" s="14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</row>
    <row r="1412" spans="2:14" x14ac:dyDescent="0.3">
      <c r="B1412" s="14"/>
      <c r="C1412" s="14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</row>
    <row r="1413" spans="2:14" x14ac:dyDescent="0.3">
      <c r="B1413" s="14"/>
      <c r="C1413" s="14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</row>
    <row r="1414" spans="2:14" x14ac:dyDescent="0.3">
      <c r="B1414" s="14"/>
      <c r="C1414" s="14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</row>
    <row r="1415" spans="2:14" x14ac:dyDescent="0.3">
      <c r="B1415" s="14"/>
      <c r="C1415" s="14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</row>
    <row r="1416" spans="2:14" x14ac:dyDescent="0.3">
      <c r="B1416" s="14"/>
      <c r="C1416" s="14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</row>
    <row r="1417" spans="2:14" x14ac:dyDescent="0.3">
      <c r="B1417" s="14"/>
      <c r="C1417" s="14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</row>
    <row r="1418" spans="2:14" x14ac:dyDescent="0.3">
      <c r="B1418" s="14"/>
      <c r="C1418" s="14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</row>
    <row r="1419" spans="2:14" x14ac:dyDescent="0.3">
      <c r="B1419" s="14"/>
      <c r="C1419" s="14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</row>
    <row r="1420" spans="2:14" x14ac:dyDescent="0.3">
      <c r="B1420" s="14"/>
      <c r="C1420" s="14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</row>
    <row r="1421" spans="2:14" x14ac:dyDescent="0.3">
      <c r="B1421" s="14"/>
      <c r="C1421" s="14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</row>
    <row r="1422" spans="2:14" x14ac:dyDescent="0.3">
      <c r="B1422" s="14"/>
      <c r="C1422" s="14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</row>
    <row r="1423" spans="2:14" x14ac:dyDescent="0.3">
      <c r="B1423" s="14"/>
      <c r="C1423" s="14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</row>
    <row r="1424" spans="2:14" x14ac:dyDescent="0.3">
      <c r="B1424" s="14"/>
      <c r="C1424" s="14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</row>
    <row r="1425" spans="2:14" x14ac:dyDescent="0.3">
      <c r="B1425" s="14"/>
      <c r="C1425" s="14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</row>
    <row r="1426" spans="2:14" x14ac:dyDescent="0.3">
      <c r="B1426" s="14"/>
      <c r="C1426" s="14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</row>
    <row r="1427" spans="2:14" x14ac:dyDescent="0.3">
      <c r="B1427" s="14"/>
      <c r="C1427" s="14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</row>
    <row r="1428" spans="2:14" x14ac:dyDescent="0.3">
      <c r="B1428" s="14"/>
      <c r="C1428" s="14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</row>
    <row r="1429" spans="2:14" x14ac:dyDescent="0.3">
      <c r="B1429" s="14"/>
      <c r="C1429" s="14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</row>
    <row r="1430" spans="2:14" x14ac:dyDescent="0.3">
      <c r="B1430" s="14"/>
      <c r="C1430" s="14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</row>
    <row r="1431" spans="2:14" x14ac:dyDescent="0.3">
      <c r="B1431" s="14"/>
      <c r="C1431" s="14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</row>
    <row r="1432" spans="2:14" x14ac:dyDescent="0.3">
      <c r="B1432" s="14"/>
      <c r="C1432" s="14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</row>
    <row r="1433" spans="2:14" x14ac:dyDescent="0.3">
      <c r="B1433" s="14"/>
      <c r="C1433" s="14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</row>
    <row r="1434" spans="2:14" x14ac:dyDescent="0.3">
      <c r="B1434" s="14"/>
      <c r="C1434" s="14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</row>
    <row r="1435" spans="2:14" x14ac:dyDescent="0.3">
      <c r="B1435" s="14"/>
      <c r="C1435" s="14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</row>
    <row r="1436" spans="2:14" x14ac:dyDescent="0.3">
      <c r="B1436" s="14"/>
      <c r="C1436" s="14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</row>
    <row r="1437" spans="2:14" x14ac:dyDescent="0.3">
      <c r="B1437" s="14"/>
      <c r="C1437" s="14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</row>
    <row r="1438" spans="2:14" x14ac:dyDescent="0.3">
      <c r="B1438" s="14"/>
      <c r="C1438" s="14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</row>
    <row r="1439" spans="2:14" x14ac:dyDescent="0.3">
      <c r="B1439" s="14"/>
      <c r="C1439" s="14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</row>
    <row r="1440" spans="2:14" x14ac:dyDescent="0.3">
      <c r="B1440" s="14"/>
      <c r="C1440" s="14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</row>
    <row r="1441" spans="2:14" x14ac:dyDescent="0.3">
      <c r="B1441" s="14"/>
      <c r="C1441" s="14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</row>
    <row r="1442" spans="2:14" x14ac:dyDescent="0.3">
      <c r="B1442" s="14"/>
      <c r="C1442" s="14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</row>
    <row r="1443" spans="2:14" x14ac:dyDescent="0.3">
      <c r="B1443" s="14"/>
      <c r="C1443" s="14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</row>
    <row r="1444" spans="2:14" x14ac:dyDescent="0.3">
      <c r="B1444" s="14"/>
      <c r="C1444" s="14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</row>
    <row r="1445" spans="2:14" x14ac:dyDescent="0.3">
      <c r="B1445" s="14"/>
      <c r="C1445" s="14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</row>
    <row r="1446" spans="2:14" x14ac:dyDescent="0.3">
      <c r="B1446" s="14"/>
      <c r="C1446" s="14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</row>
    <row r="1447" spans="2:14" x14ac:dyDescent="0.3">
      <c r="B1447" s="14"/>
      <c r="C1447" s="14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</row>
    <row r="1448" spans="2:14" x14ac:dyDescent="0.3">
      <c r="B1448" s="14"/>
      <c r="C1448" s="14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</row>
    <row r="1449" spans="2:14" x14ac:dyDescent="0.3">
      <c r="B1449" s="14"/>
      <c r="C1449" s="14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</row>
    <row r="1450" spans="2:14" x14ac:dyDescent="0.3">
      <c r="B1450" s="14"/>
      <c r="C1450" s="14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</row>
    <row r="1451" spans="2:14" x14ac:dyDescent="0.3">
      <c r="B1451" s="14"/>
      <c r="C1451" s="14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</row>
    <row r="1452" spans="2:14" x14ac:dyDescent="0.3">
      <c r="B1452" s="14"/>
      <c r="C1452" s="14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</row>
    <row r="1453" spans="2:14" x14ac:dyDescent="0.3">
      <c r="B1453" s="14"/>
      <c r="C1453" s="14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</row>
    <row r="1454" spans="2:14" x14ac:dyDescent="0.3">
      <c r="B1454" s="14"/>
      <c r="C1454" s="14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</row>
    <row r="1455" spans="2:14" x14ac:dyDescent="0.3">
      <c r="B1455" s="14"/>
      <c r="C1455" s="14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</row>
    <row r="1456" spans="2:14" x14ac:dyDescent="0.3">
      <c r="B1456" s="14"/>
      <c r="C1456" s="14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</row>
    <row r="1457" spans="2:14" x14ac:dyDescent="0.3">
      <c r="B1457" s="14"/>
      <c r="C1457" s="14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</row>
    <row r="1458" spans="2:14" x14ac:dyDescent="0.3">
      <c r="B1458" s="14"/>
      <c r="C1458" s="14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</row>
    <row r="1459" spans="2:14" x14ac:dyDescent="0.3">
      <c r="B1459" s="14"/>
      <c r="C1459" s="14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</row>
    <row r="1460" spans="2:14" x14ac:dyDescent="0.3">
      <c r="B1460" s="14"/>
      <c r="C1460" s="14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</row>
    <row r="1461" spans="2:14" x14ac:dyDescent="0.3">
      <c r="B1461" s="14"/>
      <c r="C1461" s="14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</row>
    <row r="1462" spans="2:14" x14ac:dyDescent="0.3">
      <c r="B1462" s="14"/>
      <c r="C1462" s="14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</row>
    <row r="1463" spans="2:14" x14ac:dyDescent="0.3">
      <c r="B1463" s="14"/>
      <c r="C1463" s="14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</row>
    <row r="1464" spans="2:14" x14ac:dyDescent="0.3">
      <c r="B1464" s="14"/>
      <c r="C1464" s="14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</row>
    <row r="1465" spans="2:14" x14ac:dyDescent="0.3">
      <c r="B1465" s="14"/>
      <c r="C1465" s="14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</row>
    <row r="1466" spans="2:14" x14ac:dyDescent="0.3">
      <c r="B1466" s="14"/>
      <c r="C1466" s="14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</row>
    <row r="1467" spans="2:14" x14ac:dyDescent="0.3">
      <c r="B1467" s="14"/>
      <c r="C1467" s="14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</row>
    <row r="1468" spans="2:14" x14ac:dyDescent="0.3">
      <c r="B1468" s="14"/>
      <c r="C1468" s="14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</row>
    <row r="1469" spans="2:14" x14ac:dyDescent="0.3">
      <c r="B1469" s="14"/>
      <c r="C1469" s="14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</row>
    <row r="1470" spans="2:14" x14ac:dyDescent="0.3">
      <c r="B1470" s="14"/>
      <c r="C1470" s="14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</row>
    <row r="1471" spans="2:14" x14ac:dyDescent="0.3">
      <c r="B1471" s="14"/>
      <c r="C1471" s="14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</row>
    <row r="1472" spans="2:14" x14ac:dyDescent="0.3">
      <c r="B1472" s="14"/>
      <c r="C1472" s="14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</row>
    <row r="1473" spans="2:14" x14ac:dyDescent="0.3">
      <c r="B1473" s="14"/>
      <c r="C1473" s="14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</row>
    <row r="1474" spans="2:14" x14ac:dyDescent="0.3">
      <c r="B1474" s="14"/>
      <c r="C1474" s="14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</row>
    <row r="1475" spans="2:14" x14ac:dyDescent="0.3">
      <c r="B1475" s="14"/>
      <c r="C1475" s="14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</row>
    <row r="1476" spans="2:14" x14ac:dyDescent="0.3">
      <c r="B1476" s="14"/>
      <c r="C1476" s="14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</row>
    <row r="1477" spans="2:14" x14ac:dyDescent="0.3">
      <c r="B1477" s="14"/>
      <c r="C1477" s="14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</row>
    <row r="1478" spans="2:14" x14ac:dyDescent="0.3">
      <c r="B1478" s="14"/>
      <c r="C1478" s="14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</row>
    <row r="1479" spans="2:14" x14ac:dyDescent="0.3">
      <c r="B1479" s="14"/>
      <c r="C1479" s="14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</row>
    <row r="1480" spans="2:14" x14ac:dyDescent="0.3">
      <c r="B1480" s="14"/>
      <c r="C1480" s="14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</row>
    <row r="1481" spans="2:14" x14ac:dyDescent="0.3">
      <c r="B1481" s="14"/>
      <c r="C1481" s="14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</row>
    <row r="1482" spans="2:14" x14ac:dyDescent="0.3">
      <c r="B1482" s="14"/>
      <c r="C1482" s="14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</row>
    <row r="1483" spans="2:14" x14ac:dyDescent="0.3">
      <c r="B1483" s="14"/>
      <c r="C1483" s="14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</row>
    <row r="1484" spans="2:14" x14ac:dyDescent="0.3">
      <c r="B1484" s="14"/>
      <c r="C1484" s="14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</row>
    <row r="1485" spans="2:14" x14ac:dyDescent="0.3">
      <c r="B1485" s="14"/>
      <c r="C1485" s="14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</row>
    <row r="1486" spans="2:14" x14ac:dyDescent="0.3">
      <c r="B1486" s="14"/>
      <c r="C1486" s="14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</row>
    <row r="1487" spans="2:14" x14ac:dyDescent="0.3">
      <c r="B1487" s="14"/>
      <c r="C1487" s="14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</row>
    <row r="1488" spans="2:14" x14ac:dyDescent="0.3">
      <c r="B1488" s="14"/>
      <c r="C1488" s="14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</row>
    <row r="1489" spans="2:14" x14ac:dyDescent="0.3">
      <c r="B1489" s="14"/>
      <c r="C1489" s="14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</row>
    <row r="1490" spans="2:14" x14ac:dyDescent="0.3">
      <c r="B1490" s="14"/>
      <c r="C1490" s="14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</row>
    <row r="1491" spans="2:14" x14ac:dyDescent="0.3">
      <c r="B1491" s="14"/>
      <c r="C1491" s="14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</row>
    <row r="1492" spans="2:14" x14ac:dyDescent="0.3">
      <c r="B1492" s="14"/>
      <c r="C1492" s="14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</row>
    <row r="1493" spans="2:14" x14ac:dyDescent="0.3">
      <c r="B1493" s="14"/>
      <c r="C1493" s="14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</row>
    <row r="1494" spans="2:14" x14ac:dyDescent="0.3">
      <c r="B1494" s="14"/>
      <c r="C1494" s="14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</row>
    <row r="1495" spans="2:14" x14ac:dyDescent="0.3">
      <c r="B1495" s="14"/>
      <c r="C1495" s="14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</row>
    <row r="1496" spans="2:14" x14ac:dyDescent="0.3">
      <c r="B1496" s="14"/>
      <c r="C1496" s="14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</row>
    <row r="1497" spans="2:14" x14ac:dyDescent="0.3">
      <c r="B1497" s="14"/>
      <c r="C1497" s="14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</row>
    <row r="1498" spans="2:14" x14ac:dyDescent="0.3">
      <c r="B1498" s="14"/>
      <c r="C1498" s="14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</row>
    <row r="1499" spans="2:14" x14ac:dyDescent="0.3">
      <c r="B1499" s="14"/>
      <c r="C1499" s="14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</row>
    <row r="1500" spans="2:14" x14ac:dyDescent="0.3">
      <c r="B1500" s="14"/>
      <c r="C1500" s="14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</row>
    <row r="1501" spans="2:14" x14ac:dyDescent="0.3">
      <c r="B1501" s="14"/>
      <c r="C1501" s="14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</row>
    <row r="1502" spans="2:14" x14ac:dyDescent="0.3">
      <c r="B1502" s="14"/>
      <c r="C1502" s="14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</row>
    <row r="1503" spans="2:14" x14ac:dyDescent="0.3">
      <c r="B1503" s="14"/>
      <c r="C1503" s="14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</row>
    <row r="1504" spans="2:14" x14ac:dyDescent="0.3">
      <c r="B1504" s="14"/>
      <c r="C1504" s="14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</row>
    <row r="1505" spans="2:14" x14ac:dyDescent="0.3">
      <c r="B1505" s="14"/>
      <c r="C1505" s="14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</row>
    <row r="1506" spans="2:14" x14ac:dyDescent="0.3">
      <c r="B1506" s="14"/>
      <c r="C1506" s="14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</row>
    <row r="1507" spans="2:14" x14ac:dyDescent="0.3">
      <c r="B1507" s="14"/>
      <c r="C1507" s="14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</row>
    <row r="1508" spans="2:14" x14ac:dyDescent="0.3">
      <c r="B1508" s="14"/>
      <c r="C1508" s="14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</row>
    <row r="1509" spans="2:14" x14ac:dyDescent="0.3">
      <c r="B1509" s="14"/>
      <c r="C1509" s="14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</row>
    <row r="1510" spans="2:14" x14ac:dyDescent="0.3">
      <c r="B1510" s="14"/>
      <c r="C1510" s="14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</row>
    <row r="1511" spans="2:14" x14ac:dyDescent="0.3">
      <c r="B1511" s="14"/>
      <c r="C1511" s="14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</row>
    <row r="1512" spans="2:14" x14ac:dyDescent="0.3">
      <c r="B1512" s="14"/>
      <c r="C1512" s="14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</row>
    <row r="1513" spans="2:14" x14ac:dyDescent="0.3">
      <c r="B1513" s="14"/>
      <c r="C1513" s="14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</row>
    <row r="1514" spans="2:14" x14ac:dyDescent="0.3">
      <c r="B1514" s="14"/>
      <c r="C1514" s="14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</row>
    <row r="1515" spans="2:14" x14ac:dyDescent="0.3">
      <c r="B1515" s="14"/>
      <c r="C1515" s="14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</row>
    <row r="1516" spans="2:14" x14ac:dyDescent="0.3">
      <c r="B1516" s="14"/>
      <c r="C1516" s="14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</row>
    <row r="1517" spans="2:14" x14ac:dyDescent="0.3">
      <c r="B1517" s="14"/>
      <c r="C1517" s="14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</row>
    <row r="1518" spans="2:14" x14ac:dyDescent="0.3">
      <c r="B1518" s="14"/>
      <c r="C1518" s="14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</row>
    <row r="1519" spans="2:14" x14ac:dyDescent="0.3">
      <c r="B1519" s="14"/>
      <c r="C1519" s="14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</row>
    <row r="1520" spans="2:14" x14ac:dyDescent="0.3">
      <c r="B1520" s="14"/>
      <c r="C1520" s="14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</row>
    <row r="1521" spans="2:14" x14ac:dyDescent="0.3">
      <c r="B1521" s="14"/>
      <c r="C1521" s="14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</row>
    <row r="1522" spans="2:14" x14ac:dyDescent="0.3">
      <c r="B1522" s="14"/>
      <c r="C1522" s="14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</row>
    <row r="1523" spans="2:14" x14ac:dyDescent="0.3">
      <c r="B1523" s="14"/>
      <c r="C1523" s="14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</row>
    <row r="1524" spans="2:14" x14ac:dyDescent="0.3">
      <c r="B1524" s="14"/>
      <c r="C1524" s="14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</row>
    <row r="1525" spans="2:14" x14ac:dyDescent="0.3">
      <c r="B1525" s="14"/>
      <c r="C1525" s="14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</row>
    <row r="1526" spans="2:14" x14ac:dyDescent="0.3">
      <c r="B1526" s="14"/>
      <c r="C1526" s="14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</row>
    <row r="1527" spans="2:14" x14ac:dyDescent="0.3">
      <c r="B1527" s="14"/>
      <c r="C1527" s="14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</row>
    <row r="1528" spans="2:14" x14ac:dyDescent="0.3">
      <c r="B1528" s="14"/>
      <c r="C1528" s="14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</row>
    <row r="1529" spans="2:14" x14ac:dyDescent="0.3">
      <c r="B1529" s="14"/>
      <c r="C1529" s="14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</row>
    <row r="1530" spans="2:14" x14ac:dyDescent="0.3">
      <c r="B1530" s="14"/>
      <c r="C1530" s="14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</row>
    <row r="1531" spans="2:14" x14ac:dyDescent="0.3">
      <c r="B1531" s="14"/>
      <c r="C1531" s="14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</row>
    <row r="1532" spans="2:14" x14ac:dyDescent="0.3">
      <c r="B1532" s="14"/>
      <c r="C1532" s="14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</row>
    <row r="1533" spans="2:14" x14ac:dyDescent="0.3">
      <c r="B1533" s="14"/>
      <c r="C1533" s="14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</row>
    <row r="1534" spans="2:14" x14ac:dyDescent="0.3">
      <c r="B1534" s="14"/>
      <c r="C1534" s="14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</row>
    <row r="1535" spans="2:14" x14ac:dyDescent="0.3">
      <c r="B1535" s="14"/>
      <c r="C1535" s="14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</row>
    <row r="1536" spans="2:14" x14ac:dyDescent="0.3">
      <c r="B1536" s="14"/>
      <c r="C1536" s="14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</row>
    <row r="1537" spans="2:14" x14ac:dyDescent="0.3">
      <c r="B1537" s="14"/>
      <c r="C1537" s="14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</row>
    <row r="1538" spans="2:14" x14ac:dyDescent="0.3">
      <c r="B1538" s="14"/>
      <c r="C1538" s="14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</row>
    <row r="1539" spans="2:14" x14ac:dyDescent="0.3">
      <c r="B1539" s="14"/>
      <c r="C1539" s="14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</row>
    <row r="1540" spans="2:14" x14ac:dyDescent="0.3">
      <c r="B1540" s="14"/>
      <c r="C1540" s="14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</row>
    <row r="1541" spans="2:14" x14ac:dyDescent="0.3">
      <c r="B1541" s="14"/>
      <c r="C1541" s="14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</row>
    <row r="1542" spans="2:14" x14ac:dyDescent="0.3">
      <c r="B1542" s="14"/>
      <c r="C1542" s="14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</row>
    <row r="1543" spans="2:14" x14ac:dyDescent="0.3">
      <c r="B1543" s="14"/>
      <c r="C1543" s="14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</row>
    <row r="1544" spans="2:14" x14ac:dyDescent="0.3">
      <c r="B1544" s="14"/>
      <c r="C1544" s="14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</row>
    <row r="1545" spans="2:14" x14ac:dyDescent="0.3">
      <c r="B1545" s="14"/>
      <c r="C1545" s="14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</row>
    <row r="1546" spans="2:14" x14ac:dyDescent="0.3">
      <c r="B1546" s="14"/>
      <c r="C1546" s="14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</row>
    <row r="1547" spans="2:14" x14ac:dyDescent="0.3">
      <c r="B1547" s="14"/>
      <c r="C1547" s="14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</row>
    <row r="1548" spans="2:14" x14ac:dyDescent="0.3">
      <c r="B1548" s="14"/>
      <c r="C1548" s="14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</row>
    <row r="1549" spans="2:14" x14ac:dyDescent="0.3">
      <c r="B1549" s="14"/>
      <c r="C1549" s="14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</row>
    <row r="1550" spans="2:14" x14ac:dyDescent="0.3">
      <c r="B1550" s="14"/>
      <c r="C1550" s="14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</row>
    <row r="1551" spans="2:14" x14ac:dyDescent="0.3">
      <c r="B1551" s="14"/>
      <c r="C1551" s="14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</row>
    <row r="1552" spans="2:14" x14ac:dyDescent="0.3">
      <c r="B1552" s="14"/>
      <c r="C1552" s="14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</row>
    <row r="1553" spans="2:14" x14ac:dyDescent="0.3">
      <c r="B1553" s="14"/>
      <c r="C1553" s="14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</row>
    <row r="1554" spans="2:14" x14ac:dyDescent="0.3">
      <c r="B1554" s="14"/>
      <c r="C1554" s="14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</row>
    <row r="1555" spans="2:14" x14ac:dyDescent="0.3">
      <c r="B1555" s="14"/>
      <c r="C1555" s="14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</row>
    <row r="1556" spans="2:14" x14ac:dyDescent="0.3">
      <c r="B1556" s="14"/>
      <c r="C1556" s="14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</row>
    <row r="1557" spans="2:14" x14ac:dyDescent="0.3">
      <c r="B1557" s="14"/>
      <c r="C1557" s="14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</row>
    <row r="1558" spans="2:14" x14ac:dyDescent="0.3">
      <c r="B1558" s="14"/>
      <c r="C1558" s="14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</row>
    <row r="1559" spans="2:14" x14ac:dyDescent="0.3">
      <c r="B1559" s="14"/>
      <c r="C1559" s="14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</row>
    <row r="1560" spans="2:14" x14ac:dyDescent="0.3">
      <c r="B1560" s="14"/>
      <c r="C1560" s="14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</row>
    <row r="1561" spans="2:14" x14ac:dyDescent="0.3">
      <c r="B1561" s="14"/>
      <c r="C1561" s="14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</row>
    <row r="1562" spans="2:14" x14ac:dyDescent="0.3">
      <c r="B1562" s="14"/>
      <c r="C1562" s="14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</row>
    <row r="1563" spans="2:14" x14ac:dyDescent="0.3">
      <c r="B1563" s="14"/>
      <c r="C1563" s="14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</row>
    <row r="1564" spans="2:14" x14ac:dyDescent="0.3">
      <c r="B1564" s="14"/>
      <c r="C1564" s="14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</row>
    <row r="1565" spans="2:14" x14ac:dyDescent="0.3">
      <c r="B1565" s="14"/>
      <c r="C1565" s="14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</row>
    <row r="1566" spans="2:14" x14ac:dyDescent="0.3">
      <c r="B1566" s="14"/>
      <c r="C1566" s="14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</row>
    <row r="1567" spans="2:14" x14ac:dyDescent="0.3">
      <c r="B1567" s="14"/>
      <c r="C1567" s="14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</row>
    <row r="1568" spans="2:14" x14ac:dyDescent="0.3">
      <c r="B1568" s="14"/>
      <c r="C1568" s="14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</row>
    <row r="1569" spans="2:14" x14ac:dyDescent="0.3">
      <c r="B1569" s="14"/>
      <c r="C1569" s="14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</row>
    <row r="1570" spans="2:14" x14ac:dyDescent="0.3">
      <c r="B1570" s="14"/>
      <c r="C1570" s="14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</row>
    <row r="1571" spans="2:14" x14ac:dyDescent="0.3">
      <c r="B1571" s="14"/>
      <c r="C1571" s="14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</row>
    <row r="1572" spans="2:14" x14ac:dyDescent="0.3">
      <c r="B1572" s="14"/>
      <c r="C1572" s="14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</row>
    <row r="1573" spans="2:14" x14ac:dyDescent="0.3">
      <c r="B1573" s="14"/>
      <c r="C1573" s="14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</row>
    <row r="1574" spans="2:14" x14ac:dyDescent="0.3">
      <c r="B1574" s="14"/>
      <c r="C1574" s="14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</row>
    <row r="1575" spans="2:14" x14ac:dyDescent="0.3">
      <c r="B1575" s="14"/>
      <c r="C1575" s="14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</row>
    <row r="1576" spans="2:14" x14ac:dyDescent="0.3">
      <c r="B1576" s="14"/>
      <c r="C1576" s="14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</row>
    <row r="1577" spans="2:14" x14ac:dyDescent="0.3">
      <c r="B1577" s="14"/>
      <c r="C1577" s="14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</row>
    <row r="1578" spans="2:14" x14ac:dyDescent="0.3">
      <c r="B1578" s="14"/>
      <c r="C1578" s="14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</row>
    <row r="1579" spans="2:14" x14ac:dyDescent="0.3">
      <c r="B1579" s="14"/>
      <c r="C1579" s="14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</row>
    <row r="1580" spans="2:14" x14ac:dyDescent="0.3">
      <c r="B1580" s="14"/>
      <c r="C1580" s="14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</row>
    <row r="1581" spans="2:14" x14ac:dyDescent="0.3">
      <c r="B1581" s="14"/>
      <c r="C1581" s="14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</row>
    <row r="1582" spans="2:14" x14ac:dyDescent="0.3">
      <c r="B1582" s="14"/>
      <c r="C1582" s="14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</row>
    <row r="1583" spans="2:14" x14ac:dyDescent="0.3">
      <c r="B1583" s="14"/>
      <c r="C1583" s="14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</row>
    <row r="1584" spans="2:14" x14ac:dyDescent="0.3">
      <c r="B1584" s="14"/>
      <c r="C1584" s="14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</row>
    <row r="1585" spans="2:14" x14ac:dyDescent="0.3">
      <c r="B1585" s="14"/>
      <c r="C1585" s="14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</row>
    <row r="1586" spans="2:14" x14ac:dyDescent="0.3">
      <c r="B1586" s="14"/>
      <c r="C1586" s="14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</row>
    <row r="1587" spans="2:14" x14ac:dyDescent="0.3">
      <c r="B1587" s="14"/>
      <c r="C1587" s="14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</row>
    <row r="1588" spans="2:14" x14ac:dyDescent="0.3">
      <c r="B1588" s="14"/>
      <c r="C1588" s="14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</row>
    <row r="1589" spans="2:14" x14ac:dyDescent="0.3">
      <c r="B1589" s="14"/>
      <c r="C1589" s="14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</row>
    <row r="1590" spans="2:14" x14ac:dyDescent="0.3">
      <c r="B1590" s="14"/>
      <c r="C1590" s="14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</row>
    <row r="1591" spans="2:14" x14ac:dyDescent="0.3">
      <c r="B1591" s="14"/>
      <c r="C1591" s="14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</row>
    <row r="1592" spans="2:14" x14ac:dyDescent="0.3">
      <c r="B1592" s="14"/>
      <c r="C1592" s="14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</row>
    <row r="1593" spans="2:14" x14ac:dyDescent="0.3">
      <c r="B1593" s="14"/>
      <c r="C1593" s="14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</row>
    <row r="1594" spans="2:14" x14ac:dyDescent="0.3">
      <c r="B1594" s="14"/>
      <c r="C1594" s="14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</row>
    <row r="1595" spans="2:14" x14ac:dyDescent="0.3">
      <c r="B1595" s="14"/>
      <c r="C1595" s="14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</row>
    <row r="1596" spans="2:14" x14ac:dyDescent="0.3">
      <c r="B1596" s="14"/>
      <c r="C1596" s="14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</row>
    <row r="1597" spans="2:14" x14ac:dyDescent="0.3">
      <c r="B1597" s="14"/>
      <c r="C1597" s="14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</row>
    <row r="1598" spans="2:14" x14ac:dyDescent="0.3">
      <c r="B1598" s="14"/>
      <c r="C1598" s="14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</row>
    <row r="1599" spans="2:14" x14ac:dyDescent="0.3">
      <c r="B1599" s="14"/>
      <c r="C1599" s="14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</row>
    <row r="1600" spans="2:14" x14ac:dyDescent="0.3">
      <c r="B1600" s="14"/>
      <c r="C1600" s="14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</row>
    <row r="1601" spans="2:14" x14ac:dyDescent="0.3">
      <c r="B1601" s="14"/>
      <c r="C1601" s="14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</row>
    <row r="1602" spans="2:14" x14ac:dyDescent="0.3">
      <c r="B1602" s="14"/>
      <c r="C1602" s="14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</row>
    <row r="1603" spans="2:14" x14ac:dyDescent="0.3">
      <c r="B1603" s="14"/>
      <c r="C1603" s="14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</row>
    <row r="1604" spans="2:14" x14ac:dyDescent="0.3">
      <c r="B1604" s="14"/>
      <c r="C1604" s="14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</row>
    <row r="1605" spans="2:14" x14ac:dyDescent="0.3">
      <c r="B1605" s="14"/>
      <c r="C1605" s="14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</row>
    <row r="1606" spans="2:14" x14ac:dyDescent="0.3">
      <c r="B1606" s="14"/>
      <c r="C1606" s="14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</row>
    <row r="1607" spans="2:14" x14ac:dyDescent="0.3">
      <c r="B1607" s="14"/>
      <c r="C1607" s="14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</row>
    <row r="1608" spans="2:14" x14ac:dyDescent="0.3">
      <c r="B1608" s="14"/>
      <c r="C1608" s="14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</row>
    <row r="1609" spans="2:14" x14ac:dyDescent="0.3">
      <c r="B1609" s="14"/>
      <c r="C1609" s="14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</row>
    <row r="1610" spans="2:14" x14ac:dyDescent="0.3">
      <c r="B1610" s="14"/>
      <c r="C1610" s="14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</row>
    <row r="1611" spans="2:14" x14ac:dyDescent="0.3">
      <c r="B1611" s="14"/>
      <c r="C1611" s="14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</row>
    <row r="1612" spans="2:14" x14ac:dyDescent="0.3">
      <c r="B1612" s="14"/>
      <c r="C1612" s="14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</row>
    <row r="1613" spans="2:14" x14ac:dyDescent="0.3">
      <c r="B1613" s="14"/>
      <c r="C1613" s="14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</row>
    <row r="1614" spans="2:14" x14ac:dyDescent="0.3">
      <c r="B1614" s="14"/>
      <c r="C1614" s="14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</row>
    <row r="1615" spans="2:14" x14ac:dyDescent="0.3">
      <c r="B1615" s="14"/>
      <c r="C1615" s="14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</row>
    <row r="1616" spans="2:14" x14ac:dyDescent="0.3">
      <c r="B1616" s="14"/>
      <c r="C1616" s="14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</row>
    <row r="1617" spans="2:14" x14ac:dyDescent="0.3">
      <c r="B1617" s="14"/>
      <c r="C1617" s="14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</row>
    <row r="1618" spans="2:14" x14ac:dyDescent="0.3">
      <c r="B1618" s="14"/>
      <c r="C1618" s="14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</row>
    <row r="1619" spans="2:14" x14ac:dyDescent="0.3">
      <c r="B1619" s="14"/>
      <c r="C1619" s="14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</row>
    <row r="1620" spans="2:14" x14ac:dyDescent="0.3">
      <c r="B1620" s="14"/>
      <c r="C1620" s="14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</row>
    <row r="1621" spans="2:14" x14ac:dyDescent="0.3">
      <c r="B1621" s="14"/>
      <c r="C1621" s="14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</row>
    <row r="1622" spans="2:14" x14ac:dyDescent="0.3">
      <c r="B1622" s="14"/>
      <c r="C1622" s="14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</row>
    <row r="1623" spans="2:14" x14ac:dyDescent="0.3">
      <c r="B1623" s="14"/>
      <c r="C1623" s="14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</row>
    <row r="1624" spans="2:14" x14ac:dyDescent="0.3">
      <c r="B1624" s="14"/>
      <c r="C1624" s="14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</row>
    <row r="1625" spans="2:14" x14ac:dyDescent="0.3">
      <c r="B1625" s="14"/>
      <c r="C1625" s="14"/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</row>
    <row r="1626" spans="2:14" x14ac:dyDescent="0.3">
      <c r="B1626" s="14"/>
      <c r="C1626" s="14"/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</row>
    <row r="1627" spans="2:14" x14ac:dyDescent="0.3">
      <c r="B1627" s="14"/>
      <c r="C1627" s="14"/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</row>
    <row r="1628" spans="2:14" x14ac:dyDescent="0.3">
      <c r="B1628" s="14"/>
      <c r="C1628" s="14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</row>
    <row r="1629" spans="2:14" x14ac:dyDescent="0.3">
      <c r="B1629" s="14"/>
      <c r="C1629" s="14"/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</row>
    <row r="1630" spans="2:14" x14ac:dyDescent="0.3">
      <c r="B1630" s="14"/>
      <c r="C1630" s="14"/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</row>
    <row r="1631" spans="2:14" x14ac:dyDescent="0.3">
      <c r="B1631" s="14"/>
      <c r="C1631" s="14"/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</row>
    <row r="1632" spans="2:14" x14ac:dyDescent="0.3">
      <c r="B1632" s="14"/>
      <c r="C1632" s="14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</row>
    <row r="1633" spans="2:14" x14ac:dyDescent="0.3">
      <c r="B1633" s="14"/>
      <c r="C1633" s="14"/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</row>
    <row r="1634" spans="2:14" x14ac:dyDescent="0.3">
      <c r="B1634" s="14"/>
      <c r="C1634" s="14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</row>
    <row r="1635" spans="2:14" x14ac:dyDescent="0.3">
      <c r="B1635" s="14"/>
      <c r="C1635" s="14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</row>
    <row r="1636" spans="2:14" x14ac:dyDescent="0.3">
      <c r="B1636" s="14"/>
      <c r="C1636" s="14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</row>
    <row r="1637" spans="2:14" x14ac:dyDescent="0.3">
      <c r="B1637" s="14"/>
      <c r="C1637" s="14"/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</row>
    <row r="1638" spans="2:14" x14ac:dyDescent="0.3">
      <c r="B1638" s="14"/>
      <c r="C1638" s="14"/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</row>
    <row r="1639" spans="2:14" x14ac:dyDescent="0.3">
      <c r="B1639" s="14"/>
      <c r="C1639" s="14"/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</row>
    <row r="1640" spans="2:14" x14ac:dyDescent="0.3">
      <c r="B1640" s="14"/>
      <c r="C1640" s="14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</row>
    <row r="1641" spans="2:14" x14ac:dyDescent="0.3">
      <c r="B1641" s="14"/>
      <c r="C1641" s="14"/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</row>
    <row r="1642" spans="2:14" x14ac:dyDescent="0.3">
      <c r="B1642" s="14"/>
      <c r="C1642" s="14"/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</row>
    <row r="1643" spans="2:14" x14ac:dyDescent="0.3">
      <c r="B1643" s="14"/>
      <c r="C1643" s="14"/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</row>
    <row r="1644" spans="2:14" x14ac:dyDescent="0.3">
      <c r="B1644" s="14"/>
      <c r="C1644" s="14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</row>
    <row r="1645" spans="2:14" x14ac:dyDescent="0.3">
      <c r="B1645" s="14"/>
      <c r="C1645" s="14"/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</row>
    <row r="1646" spans="2:14" x14ac:dyDescent="0.3">
      <c r="B1646" s="14"/>
      <c r="C1646" s="14"/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</row>
    <row r="1647" spans="2:14" x14ac:dyDescent="0.3">
      <c r="B1647" s="14"/>
      <c r="C1647" s="14"/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</row>
    <row r="1648" spans="2:14" x14ac:dyDescent="0.3">
      <c r="B1648" s="14"/>
      <c r="C1648" s="14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</row>
    <row r="1649" spans="2:14" x14ac:dyDescent="0.3">
      <c r="B1649" s="14"/>
      <c r="C1649" s="14"/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</row>
    <row r="1650" spans="2:14" x14ac:dyDescent="0.3">
      <c r="B1650" s="14"/>
      <c r="C1650" s="14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</row>
    <row r="1651" spans="2:14" x14ac:dyDescent="0.3">
      <c r="B1651" s="14"/>
      <c r="C1651" s="14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</row>
    <row r="1652" spans="2:14" x14ac:dyDescent="0.3">
      <c r="B1652" s="14"/>
      <c r="C1652" s="14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</row>
    <row r="1653" spans="2:14" x14ac:dyDescent="0.3">
      <c r="B1653" s="14"/>
      <c r="C1653" s="14"/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</row>
    <row r="1654" spans="2:14" x14ac:dyDescent="0.3">
      <c r="B1654" s="14"/>
      <c r="C1654" s="14"/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</row>
    <row r="1655" spans="2:14" x14ac:dyDescent="0.3">
      <c r="B1655" s="14"/>
      <c r="C1655" s="14"/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</row>
    <row r="1656" spans="2:14" x14ac:dyDescent="0.3">
      <c r="B1656" s="14"/>
      <c r="C1656" s="14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</row>
    <row r="1657" spans="2:14" x14ac:dyDescent="0.3">
      <c r="B1657" s="14"/>
      <c r="C1657" s="14"/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</row>
    <row r="1658" spans="2:14" x14ac:dyDescent="0.3">
      <c r="B1658" s="14"/>
      <c r="C1658" s="14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</row>
    <row r="1659" spans="2:14" x14ac:dyDescent="0.3">
      <c r="B1659" s="14"/>
      <c r="C1659" s="14"/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</row>
    <row r="1660" spans="2:14" x14ac:dyDescent="0.3">
      <c r="B1660" s="14"/>
      <c r="C1660" s="14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</row>
    <row r="1661" spans="2:14" x14ac:dyDescent="0.3">
      <c r="B1661" s="14"/>
      <c r="C1661" s="14"/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</row>
    <row r="1662" spans="2:14" x14ac:dyDescent="0.3">
      <c r="B1662" s="14"/>
      <c r="C1662" s="14"/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</row>
    <row r="1663" spans="2:14" x14ac:dyDescent="0.3">
      <c r="B1663" s="14"/>
      <c r="C1663" s="14"/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</row>
    <row r="1664" spans="2:14" x14ac:dyDescent="0.3">
      <c r="B1664" s="14"/>
      <c r="C1664" s="14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</row>
    <row r="1665" spans="2:14" x14ac:dyDescent="0.3">
      <c r="B1665" s="14"/>
      <c r="C1665" s="14"/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</row>
    <row r="1666" spans="2:14" x14ac:dyDescent="0.3">
      <c r="B1666" s="14"/>
      <c r="C1666" s="14"/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</row>
    <row r="1667" spans="2:14" x14ac:dyDescent="0.3">
      <c r="B1667" s="14"/>
      <c r="C1667" s="14"/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</row>
    <row r="1668" spans="2:14" x14ac:dyDescent="0.3">
      <c r="B1668" s="14"/>
      <c r="C1668" s="14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</row>
    <row r="1669" spans="2:14" x14ac:dyDescent="0.3">
      <c r="B1669" s="14"/>
      <c r="C1669" s="14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</row>
    <row r="1670" spans="2:14" x14ac:dyDescent="0.3">
      <c r="B1670" s="14"/>
      <c r="C1670" s="14"/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</row>
    <row r="1671" spans="2:14" x14ac:dyDescent="0.3">
      <c r="B1671" s="14"/>
      <c r="C1671" s="14"/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</row>
    <row r="1672" spans="2:14" x14ac:dyDescent="0.3">
      <c r="B1672" s="14"/>
      <c r="C1672" s="14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</row>
    <row r="1673" spans="2:14" x14ac:dyDescent="0.3">
      <c r="B1673" s="14"/>
      <c r="C1673" s="14"/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</row>
    <row r="1674" spans="2:14" x14ac:dyDescent="0.3">
      <c r="B1674" s="14"/>
      <c r="C1674" s="14"/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</row>
    <row r="1675" spans="2:14" x14ac:dyDescent="0.3">
      <c r="B1675" s="14"/>
      <c r="C1675" s="14"/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</row>
    <row r="1676" spans="2:14" x14ac:dyDescent="0.3">
      <c r="B1676" s="14"/>
      <c r="C1676" s="14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</row>
    <row r="1677" spans="2:14" x14ac:dyDescent="0.3">
      <c r="B1677" s="14"/>
      <c r="C1677" s="14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</row>
    <row r="1678" spans="2:14" x14ac:dyDescent="0.3">
      <c r="B1678" s="14"/>
      <c r="C1678" s="14"/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</row>
    <row r="1679" spans="2:14" x14ac:dyDescent="0.3">
      <c r="B1679" s="14"/>
      <c r="C1679" s="14"/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</row>
    <row r="1680" spans="2:14" x14ac:dyDescent="0.3">
      <c r="B1680" s="14"/>
      <c r="C1680" s="14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</row>
    <row r="1681" spans="2:14" x14ac:dyDescent="0.3">
      <c r="B1681" s="14"/>
      <c r="C1681" s="14"/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</row>
    <row r="1682" spans="2:14" x14ac:dyDescent="0.3">
      <c r="B1682" s="14"/>
      <c r="C1682" s="14"/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</row>
    <row r="1683" spans="2:14" x14ac:dyDescent="0.3">
      <c r="B1683" s="14"/>
      <c r="C1683" s="14"/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</row>
    <row r="1684" spans="2:14" x14ac:dyDescent="0.3">
      <c r="B1684" s="14"/>
      <c r="C1684" s="14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</row>
    <row r="1685" spans="2:14" x14ac:dyDescent="0.3">
      <c r="B1685" s="14"/>
      <c r="C1685" s="14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</row>
    <row r="1686" spans="2:14" x14ac:dyDescent="0.3">
      <c r="B1686" s="14"/>
      <c r="C1686" s="14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</row>
    <row r="1687" spans="2:14" x14ac:dyDescent="0.3">
      <c r="B1687" s="14"/>
      <c r="C1687" s="14"/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</row>
    <row r="1688" spans="2:14" x14ac:dyDescent="0.3">
      <c r="B1688" s="14"/>
      <c r="C1688" s="14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</row>
    <row r="1689" spans="2:14" x14ac:dyDescent="0.3">
      <c r="B1689" s="14"/>
      <c r="C1689" s="14"/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</row>
    <row r="1690" spans="2:14" x14ac:dyDescent="0.3">
      <c r="B1690" s="14"/>
      <c r="C1690" s="14"/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</row>
    <row r="1691" spans="2:14" x14ac:dyDescent="0.3">
      <c r="B1691" s="14"/>
      <c r="C1691" s="14"/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</row>
    <row r="1692" spans="2:14" x14ac:dyDescent="0.3">
      <c r="B1692" s="14"/>
      <c r="C1692" s="14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</row>
    <row r="1693" spans="2:14" x14ac:dyDescent="0.3">
      <c r="B1693" s="14"/>
      <c r="C1693" s="14"/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</row>
    <row r="1694" spans="2:14" x14ac:dyDescent="0.3">
      <c r="B1694" s="14"/>
      <c r="C1694" s="14"/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</row>
    <row r="1695" spans="2:14" x14ac:dyDescent="0.3">
      <c r="B1695" s="14"/>
      <c r="C1695" s="14"/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</row>
    <row r="1696" spans="2:14" x14ac:dyDescent="0.3">
      <c r="B1696" s="14"/>
      <c r="C1696" s="14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</row>
    <row r="1697" spans="2:14" x14ac:dyDescent="0.3">
      <c r="B1697" s="14"/>
      <c r="C1697" s="14"/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</row>
    <row r="1698" spans="2:14" x14ac:dyDescent="0.3">
      <c r="B1698" s="14"/>
      <c r="C1698" s="14"/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</row>
    <row r="1699" spans="2:14" x14ac:dyDescent="0.3">
      <c r="B1699" s="14"/>
      <c r="C1699" s="14"/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</row>
    <row r="1700" spans="2:14" x14ac:dyDescent="0.3">
      <c r="B1700" s="14"/>
      <c r="C1700" s="14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</row>
    <row r="1701" spans="2:14" x14ac:dyDescent="0.3">
      <c r="B1701" s="14"/>
      <c r="C1701" s="14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</row>
    <row r="1702" spans="2:14" x14ac:dyDescent="0.3">
      <c r="B1702" s="14"/>
      <c r="C1702" s="14"/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</row>
    <row r="1703" spans="2:14" x14ac:dyDescent="0.3">
      <c r="B1703" s="14"/>
      <c r="C1703" s="14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</row>
    <row r="1704" spans="2:14" x14ac:dyDescent="0.3">
      <c r="B1704" s="14"/>
      <c r="C1704" s="14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</row>
    <row r="1705" spans="2:14" x14ac:dyDescent="0.3">
      <c r="B1705" s="14"/>
      <c r="C1705" s="14"/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</row>
    <row r="1706" spans="2:14" x14ac:dyDescent="0.3">
      <c r="B1706" s="14"/>
      <c r="C1706" s="14"/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</row>
    <row r="1707" spans="2:14" x14ac:dyDescent="0.3">
      <c r="B1707" s="14"/>
      <c r="C1707" s="14"/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</row>
    <row r="1708" spans="2:14" x14ac:dyDescent="0.3">
      <c r="B1708" s="14"/>
      <c r="C1708" s="14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</row>
    <row r="1709" spans="2:14" x14ac:dyDescent="0.3">
      <c r="B1709" s="14"/>
      <c r="C1709" s="14"/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</row>
    <row r="1710" spans="2:14" x14ac:dyDescent="0.3">
      <c r="B1710" s="14"/>
      <c r="C1710" s="14"/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</row>
    <row r="1711" spans="2:14" x14ac:dyDescent="0.3">
      <c r="B1711" s="14"/>
      <c r="C1711" s="14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</row>
    <row r="1712" spans="2:14" x14ac:dyDescent="0.3">
      <c r="B1712" s="14"/>
      <c r="C1712" s="14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</row>
    <row r="1713" spans="2:14" x14ac:dyDescent="0.3">
      <c r="B1713" s="14"/>
      <c r="C1713" s="14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</row>
    <row r="1714" spans="2:14" x14ac:dyDescent="0.3">
      <c r="B1714" s="14"/>
      <c r="C1714" s="14"/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</row>
    <row r="1715" spans="2:14" x14ac:dyDescent="0.3">
      <c r="B1715" s="14"/>
      <c r="C1715" s="14"/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</row>
    <row r="1716" spans="2:14" x14ac:dyDescent="0.3">
      <c r="B1716" s="14"/>
      <c r="C1716" s="14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</row>
    <row r="1717" spans="2:14" x14ac:dyDescent="0.3">
      <c r="B1717" s="14"/>
      <c r="C1717" s="14"/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</row>
    <row r="1718" spans="2:14" x14ac:dyDescent="0.3">
      <c r="B1718" s="14"/>
      <c r="C1718" s="14"/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</row>
    <row r="1719" spans="2:14" x14ac:dyDescent="0.3">
      <c r="B1719" s="14"/>
      <c r="C1719" s="14"/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</row>
    <row r="1720" spans="2:14" x14ac:dyDescent="0.3">
      <c r="B1720" s="14"/>
      <c r="C1720" s="14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</row>
    <row r="1721" spans="2:14" x14ac:dyDescent="0.3">
      <c r="B1721" s="14"/>
      <c r="C1721" s="14"/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</row>
    <row r="1722" spans="2:14" x14ac:dyDescent="0.3">
      <c r="B1722" s="14"/>
      <c r="C1722" s="14"/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</row>
    <row r="1723" spans="2:14" x14ac:dyDescent="0.3">
      <c r="B1723" s="14"/>
      <c r="C1723" s="14"/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</row>
    <row r="1724" spans="2:14" x14ac:dyDescent="0.3">
      <c r="B1724" s="14"/>
      <c r="C1724" s="14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</row>
    <row r="1725" spans="2:14" x14ac:dyDescent="0.3">
      <c r="B1725" s="14"/>
      <c r="C1725" s="14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</row>
    <row r="1726" spans="2:14" x14ac:dyDescent="0.3">
      <c r="B1726" s="14"/>
      <c r="C1726" s="14"/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</row>
    <row r="1727" spans="2:14" x14ac:dyDescent="0.3">
      <c r="B1727" s="14"/>
      <c r="C1727" s="14"/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</row>
    <row r="1728" spans="2:14" x14ac:dyDescent="0.3">
      <c r="B1728" s="14"/>
      <c r="C1728" s="14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</row>
    <row r="1729" spans="2:14" x14ac:dyDescent="0.3">
      <c r="B1729" s="14"/>
      <c r="C1729" s="14"/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</row>
    <row r="1730" spans="2:14" x14ac:dyDescent="0.3">
      <c r="B1730" s="14"/>
      <c r="C1730" s="14"/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</row>
    <row r="1731" spans="2:14" x14ac:dyDescent="0.3">
      <c r="B1731" s="14"/>
      <c r="C1731" s="14"/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</row>
    <row r="1732" spans="2:14" x14ac:dyDescent="0.3">
      <c r="B1732" s="14"/>
      <c r="C1732" s="14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</row>
    <row r="1733" spans="2:14" x14ac:dyDescent="0.3">
      <c r="B1733" s="14"/>
      <c r="C1733" s="14"/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</row>
    <row r="1734" spans="2:14" x14ac:dyDescent="0.3">
      <c r="B1734" s="14"/>
      <c r="C1734" s="14"/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</row>
    <row r="1735" spans="2:14" x14ac:dyDescent="0.3">
      <c r="B1735" s="14"/>
      <c r="C1735" s="14"/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</row>
    <row r="1736" spans="2:14" x14ac:dyDescent="0.3">
      <c r="B1736" s="14"/>
      <c r="C1736" s="14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</row>
    <row r="1737" spans="2:14" x14ac:dyDescent="0.3">
      <c r="B1737" s="14"/>
      <c r="C1737" s="14"/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</row>
    <row r="1738" spans="2:14" x14ac:dyDescent="0.3">
      <c r="B1738" s="14"/>
      <c r="C1738" s="14"/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</row>
    <row r="1739" spans="2:14" x14ac:dyDescent="0.3">
      <c r="B1739" s="14"/>
      <c r="C1739" s="14"/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</row>
    <row r="1740" spans="2:14" x14ac:dyDescent="0.3">
      <c r="B1740" s="14"/>
      <c r="C1740" s="14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</row>
    <row r="1741" spans="2:14" x14ac:dyDescent="0.3">
      <c r="B1741" s="14"/>
      <c r="C1741" s="14"/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</row>
    <row r="1742" spans="2:14" x14ac:dyDescent="0.3">
      <c r="B1742" s="14"/>
      <c r="C1742" s="14"/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</row>
    <row r="1743" spans="2:14" x14ac:dyDescent="0.3">
      <c r="B1743" s="14"/>
      <c r="C1743" s="14"/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</row>
    <row r="1744" spans="2:14" x14ac:dyDescent="0.3">
      <c r="B1744" s="14"/>
      <c r="C1744" s="14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</row>
    <row r="1745" spans="2:14" x14ac:dyDescent="0.3">
      <c r="B1745" s="14"/>
      <c r="C1745" s="14"/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</row>
    <row r="1746" spans="2:14" x14ac:dyDescent="0.3">
      <c r="B1746" s="14"/>
      <c r="C1746" s="14"/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</row>
    <row r="1747" spans="2:14" x14ac:dyDescent="0.3">
      <c r="B1747" s="14"/>
      <c r="C1747" s="14"/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</row>
    <row r="1748" spans="2:14" x14ac:dyDescent="0.3">
      <c r="B1748" s="14"/>
      <c r="C1748" s="14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</row>
    <row r="1749" spans="2:14" x14ac:dyDescent="0.3">
      <c r="B1749" s="14"/>
      <c r="C1749" s="14"/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</row>
    <row r="1750" spans="2:14" x14ac:dyDescent="0.3">
      <c r="B1750" s="14"/>
      <c r="C1750" s="14"/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</row>
    <row r="1751" spans="2:14" x14ac:dyDescent="0.3">
      <c r="B1751" s="14"/>
      <c r="C1751" s="14"/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</row>
    <row r="1752" spans="2:14" x14ac:dyDescent="0.3">
      <c r="B1752" s="14"/>
      <c r="C1752" s="14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</row>
    <row r="1753" spans="2:14" x14ac:dyDescent="0.3">
      <c r="B1753" s="14"/>
      <c r="C1753" s="14"/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</row>
    <row r="1754" spans="2:14" x14ac:dyDescent="0.3">
      <c r="B1754" s="14"/>
      <c r="C1754" s="14"/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</row>
    <row r="1755" spans="2:14" x14ac:dyDescent="0.3">
      <c r="B1755" s="14"/>
      <c r="C1755" s="14"/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</row>
    <row r="1756" spans="2:14" x14ac:dyDescent="0.3">
      <c r="B1756" s="14"/>
      <c r="C1756" s="14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</row>
    <row r="1757" spans="2:14" x14ac:dyDescent="0.3">
      <c r="B1757" s="14"/>
      <c r="C1757" s="14"/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</row>
    <row r="1758" spans="2:14" x14ac:dyDescent="0.3">
      <c r="B1758" s="14"/>
      <c r="C1758" s="14"/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</row>
    <row r="1759" spans="2:14" x14ac:dyDescent="0.3">
      <c r="B1759" s="14"/>
      <c r="C1759" s="14"/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</row>
    <row r="1760" spans="2:14" x14ac:dyDescent="0.3">
      <c r="B1760" s="14"/>
      <c r="C1760" s="14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</row>
    <row r="1761" spans="2:14" x14ac:dyDescent="0.3">
      <c r="B1761" s="14"/>
      <c r="C1761" s="14"/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</row>
    <row r="1762" spans="2:14" x14ac:dyDescent="0.3">
      <c r="B1762" s="14"/>
      <c r="C1762" s="14"/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</row>
    <row r="1763" spans="2:14" x14ac:dyDescent="0.3">
      <c r="B1763" s="14"/>
      <c r="C1763" s="14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</row>
    <row r="1764" spans="2:14" x14ac:dyDescent="0.3">
      <c r="B1764" s="14"/>
      <c r="C1764" s="14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</row>
    <row r="1765" spans="2:14" x14ac:dyDescent="0.3">
      <c r="B1765" s="14"/>
      <c r="C1765" s="14"/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</row>
    <row r="1766" spans="2:14" x14ac:dyDescent="0.3">
      <c r="B1766" s="14"/>
      <c r="C1766" s="14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</row>
    <row r="1767" spans="2:14" x14ac:dyDescent="0.3">
      <c r="B1767" s="14"/>
      <c r="C1767" s="14"/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</row>
    <row r="1768" spans="2:14" x14ac:dyDescent="0.3">
      <c r="B1768" s="14"/>
      <c r="C1768" s="14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</row>
    <row r="1769" spans="2:14" x14ac:dyDescent="0.3">
      <c r="B1769" s="14"/>
      <c r="C1769" s="14"/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</row>
    <row r="1770" spans="2:14" x14ac:dyDescent="0.3">
      <c r="B1770" s="14"/>
      <c r="C1770" s="14"/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</row>
    <row r="1771" spans="2:14" x14ac:dyDescent="0.3">
      <c r="B1771" s="14"/>
      <c r="C1771" s="14"/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</row>
    <row r="1772" spans="2:14" x14ac:dyDescent="0.3">
      <c r="B1772" s="14"/>
      <c r="C1772" s="14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</row>
    <row r="1773" spans="2:14" x14ac:dyDescent="0.3">
      <c r="B1773" s="14"/>
      <c r="C1773" s="14"/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</row>
    <row r="1774" spans="2:14" x14ac:dyDescent="0.3">
      <c r="B1774" s="14"/>
      <c r="C1774" s="14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</row>
    <row r="1775" spans="2:14" x14ac:dyDescent="0.3">
      <c r="B1775" s="14"/>
      <c r="C1775" s="14"/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</row>
    <row r="1776" spans="2:14" x14ac:dyDescent="0.3">
      <c r="B1776" s="14"/>
      <c r="C1776" s="14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</row>
    <row r="1777" spans="2:14" x14ac:dyDescent="0.3">
      <c r="B1777" s="14"/>
      <c r="C1777" s="14"/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</row>
    <row r="1778" spans="2:14" x14ac:dyDescent="0.3">
      <c r="B1778" s="14"/>
      <c r="C1778" s="14"/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</row>
    <row r="1779" spans="2:14" x14ac:dyDescent="0.3">
      <c r="B1779" s="14"/>
      <c r="C1779" s="14"/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</row>
    <row r="1780" spans="2:14" x14ac:dyDescent="0.3">
      <c r="B1780" s="14"/>
      <c r="C1780" s="14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</row>
    <row r="1781" spans="2:14" x14ac:dyDescent="0.3">
      <c r="B1781" s="14"/>
      <c r="C1781" s="14"/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</row>
    <row r="1782" spans="2:14" x14ac:dyDescent="0.3">
      <c r="B1782" s="14"/>
      <c r="C1782" s="14"/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</row>
    <row r="1783" spans="2:14" x14ac:dyDescent="0.3">
      <c r="B1783" s="14"/>
      <c r="C1783" s="14"/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</row>
    <row r="1784" spans="2:14" x14ac:dyDescent="0.3">
      <c r="B1784" s="14"/>
      <c r="C1784" s="14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</row>
    <row r="1785" spans="2:14" x14ac:dyDescent="0.3">
      <c r="B1785" s="14"/>
      <c r="C1785" s="14"/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</row>
    <row r="1786" spans="2:14" x14ac:dyDescent="0.3">
      <c r="B1786" s="14"/>
      <c r="C1786" s="14"/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</row>
    <row r="1787" spans="2:14" x14ac:dyDescent="0.3">
      <c r="B1787" s="14"/>
      <c r="C1787" s="14"/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</row>
    <row r="1788" spans="2:14" x14ac:dyDescent="0.3">
      <c r="B1788" s="14"/>
      <c r="C1788" s="14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</row>
    <row r="1789" spans="2:14" x14ac:dyDescent="0.3">
      <c r="B1789" s="14"/>
      <c r="C1789" s="14"/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</row>
    <row r="1790" spans="2:14" x14ac:dyDescent="0.3">
      <c r="B1790" s="14"/>
      <c r="C1790" s="14"/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</row>
    <row r="1791" spans="2:14" x14ac:dyDescent="0.3">
      <c r="B1791" s="14"/>
      <c r="C1791" s="14"/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</row>
    <row r="1792" spans="2:14" x14ac:dyDescent="0.3">
      <c r="B1792" s="14"/>
      <c r="C1792" s="14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</row>
    <row r="1793" spans="2:14" x14ac:dyDescent="0.3">
      <c r="B1793" s="14"/>
      <c r="C1793" s="14"/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</row>
    <row r="1794" spans="2:14" x14ac:dyDescent="0.3">
      <c r="B1794" s="14"/>
      <c r="C1794" s="14"/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</row>
    <row r="1795" spans="2:14" x14ac:dyDescent="0.3">
      <c r="B1795" s="14"/>
      <c r="C1795" s="14"/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</row>
    <row r="1796" spans="2:14" x14ac:dyDescent="0.3">
      <c r="B1796" s="14"/>
      <c r="C1796" s="14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</row>
    <row r="1797" spans="2:14" x14ac:dyDescent="0.3">
      <c r="B1797" s="14"/>
      <c r="C1797" s="14"/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</row>
    <row r="1798" spans="2:14" x14ac:dyDescent="0.3">
      <c r="B1798" s="14"/>
      <c r="C1798" s="14"/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</row>
    <row r="1799" spans="2:14" x14ac:dyDescent="0.3">
      <c r="B1799" s="14"/>
      <c r="C1799" s="14"/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</row>
    <row r="1800" spans="2:14" x14ac:dyDescent="0.3">
      <c r="B1800" s="14"/>
      <c r="C1800" s="14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</row>
    <row r="1801" spans="2:14" x14ac:dyDescent="0.3">
      <c r="B1801" s="14"/>
      <c r="C1801" s="14"/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</row>
    <row r="1802" spans="2:14" x14ac:dyDescent="0.3">
      <c r="B1802" s="14"/>
      <c r="C1802" s="14"/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</row>
    <row r="1803" spans="2:14" x14ac:dyDescent="0.3">
      <c r="B1803" s="14"/>
      <c r="C1803" s="14"/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</row>
    <row r="1804" spans="2:14" x14ac:dyDescent="0.3">
      <c r="B1804" s="14"/>
      <c r="C1804" s="14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</row>
    <row r="1805" spans="2:14" x14ac:dyDescent="0.3">
      <c r="B1805" s="14"/>
      <c r="C1805" s="14"/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</row>
    <row r="1806" spans="2:14" x14ac:dyDescent="0.3">
      <c r="B1806" s="14"/>
      <c r="C1806" s="14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</row>
    <row r="1807" spans="2:14" x14ac:dyDescent="0.3">
      <c r="B1807" s="14"/>
      <c r="C1807" s="14"/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</row>
    <row r="1808" spans="2:14" x14ac:dyDescent="0.3">
      <c r="B1808" s="14"/>
      <c r="C1808" s="14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</row>
    <row r="1809" spans="2:14" x14ac:dyDescent="0.3">
      <c r="B1809" s="14"/>
      <c r="C1809" s="14"/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</row>
    <row r="1810" spans="2:14" x14ac:dyDescent="0.3">
      <c r="B1810" s="14"/>
      <c r="C1810" s="14"/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</row>
    <row r="1811" spans="2:14" x14ac:dyDescent="0.3">
      <c r="B1811" s="14"/>
      <c r="C1811" s="14"/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</row>
    <row r="1812" spans="2:14" x14ac:dyDescent="0.3">
      <c r="B1812" s="14"/>
      <c r="C1812" s="14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</row>
    <row r="1813" spans="2:14" x14ac:dyDescent="0.3">
      <c r="B1813" s="14"/>
      <c r="C1813" s="14"/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</row>
    <row r="1814" spans="2:14" x14ac:dyDescent="0.3">
      <c r="B1814" s="14"/>
      <c r="C1814" s="14"/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</row>
    <row r="1815" spans="2:14" x14ac:dyDescent="0.3">
      <c r="B1815" s="14"/>
      <c r="C1815" s="14"/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</row>
    <row r="1816" spans="2:14" x14ac:dyDescent="0.3">
      <c r="B1816" s="14"/>
      <c r="C1816" s="14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</row>
    <row r="1817" spans="2:14" x14ac:dyDescent="0.3">
      <c r="B1817" s="14"/>
      <c r="C1817" s="14"/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</row>
    <row r="1818" spans="2:14" x14ac:dyDescent="0.3">
      <c r="B1818" s="14"/>
      <c r="C1818" s="14"/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</row>
    <row r="1819" spans="2:14" x14ac:dyDescent="0.3">
      <c r="B1819" s="14"/>
      <c r="C1819" s="14"/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</row>
    <row r="1820" spans="2:14" x14ac:dyDescent="0.3">
      <c r="B1820" s="14"/>
      <c r="C1820" s="14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</row>
    <row r="1821" spans="2:14" x14ac:dyDescent="0.3">
      <c r="B1821" s="14"/>
      <c r="C1821" s="14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</row>
    <row r="1822" spans="2:14" x14ac:dyDescent="0.3">
      <c r="B1822" s="14"/>
      <c r="C1822" s="14"/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</row>
    <row r="1823" spans="2:14" x14ac:dyDescent="0.3">
      <c r="B1823" s="14"/>
      <c r="C1823" s="14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</row>
    <row r="1824" spans="2:14" x14ac:dyDescent="0.3">
      <c r="B1824" s="14"/>
      <c r="C1824" s="14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</row>
    <row r="1825" spans="2:14" x14ac:dyDescent="0.3">
      <c r="B1825" s="14"/>
      <c r="C1825" s="14"/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</row>
    <row r="1826" spans="2:14" x14ac:dyDescent="0.3">
      <c r="B1826" s="14"/>
      <c r="C1826" s="14"/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</row>
    <row r="1827" spans="2:14" x14ac:dyDescent="0.3">
      <c r="B1827" s="14"/>
      <c r="C1827" s="14"/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</row>
    <row r="1828" spans="2:14" x14ac:dyDescent="0.3">
      <c r="B1828" s="14"/>
      <c r="C1828" s="14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</row>
    <row r="1829" spans="2:14" x14ac:dyDescent="0.3">
      <c r="B1829" s="14"/>
      <c r="C1829" s="14"/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</row>
    <row r="1830" spans="2:14" x14ac:dyDescent="0.3">
      <c r="B1830" s="14"/>
      <c r="C1830" s="14"/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</row>
    <row r="1831" spans="2:14" x14ac:dyDescent="0.3">
      <c r="B1831" s="14"/>
      <c r="C1831" s="14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</row>
    <row r="1832" spans="2:14" x14ac:dyDescent="0.3">
      <c r="B1832" s="14"/>
      <c r="C1832" s="14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</row>
    <row r="1833" spans="2:14" x14ac:dyDescent="0.3">
      <c r="B1833" s="14"/>
      <c r="C1833" s="14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</row>
    <row r="1834" spans="2:14" x14ac:dyDescent="0.3">
      <c r="B1834" s="14"/>
      <c r="C1834" s="14"/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</row>
    <row r="1835" spans="2:14" x14ac:dyDescent="0.3">
      <c r="B1835" s="14"/>
      <c r="C1835" s="14"/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</row>
    <row r="1836" spans="2:14" x14ac:dyDescent="0.3">
      <c r="B1836" s="14"/>
      <c r="C1836" s="14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</row>
    <row r="1837" spans="2:14" x14ac:dyDescent="0.3">
      <c r="B1837" s="14"/>
      <c r="C1837" s="14"/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</row>
    <row r="1838" spans="2:14" x14ac:dyDescent="0.3">
      <c r="B1838" s="14"/>
      <c r="C1838" s="14"/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</row>
    <row r="1839" spans="2:14" x14ac:dyDescent="0.3">
      <c r="B1839" s="14"/>
      <c r="C1839" s="14"/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</row>
    <row r="1840" spans="2:14" x14ac:dyDescent="0.3">
      <c r="B1840" s="14"/>
      <c r="C1840" s="14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</row>
    <row r="1841" spans="2:14" x14ac:dyDescent="0.3">
      <c r="B1841" s="14"/>
      <c r="C1841" s="14"/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</row>
    <row r="1842" spans="2:14" x14ac:dyDescent="0.3">
      <c r="B1842" s="14"/>
      <c r="C1842" s="14"/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</row>
    <row r="1843" spans="2:14" x14ac:dyDescent="0.3">
      <c r="B1843" s="14"/>
      <c r="C1843" s="14"/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</row>
    <row r="1844" spans="2:14" x14ac:dyDescent="0.3">
      <c r="B1844" s="14"/>
      <c r="C1844" s="14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</row>
    <row r="1845" spans="2:14" x14ac:dyDescent="0.3">
      <c r="B1845" s="14"/>
      <c r="C1845" s="14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</row>
    <row r="1846" spans="2:14" x14ac:dyDescent="0.3">
      <c r="B1846" s="14"/>
      <c r="C1846" s="14"/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</row>
    <row r="1847" spans="2:14" x14ac:dyDescent="0.3">
      <c r="B1847" s="14"/>
      <c r="C1847" s="14"/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</row>
    <row r="1848" spans="2:14" x14ac:dyDescent="0.3">
      <c r="B1848" s="14"/>
      <c r="C1848" s="14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</row>
    <row r="1849" spans="2:14" x14ac:dyDescent="0.3">
      <c r="B1849" s="14"/>
      <c r="C1849" s="14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</row>
    <row r="1850" spans="2:14" x14ac:dyDescent="0.3">
      <c r="B1850" s="14"/>
      <c r="C1850" s="14"/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</row>
    <row r="1851" spans="2:14" x14ac:dyDescent="0.3">
      <c r="B1851" s="14"/>
      <c r="C1851" s="14"/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</row>
    <row r="1852" spans="2:14" x14ac:dyDescent="0.3">
      <c r="B1852" s="14"/>
      <c r="C1852" s="14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</row>
    <row r="1853" spans="2:14" x14ac:dyDescent="0.3">
      <c r="B1853" s="14"/>
      <c r="C1853" s="14"/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</row>
    <row r="1854" spans="2:14" x14ac:dyDescent="0.3">
      <c r="B1854" s="14"/>
      <c r="C1854" s="14"/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</row>
    <row r="1855" spans="2:14" x14ac:dyDescent="0.3">
      <c r="B1855" s="14"/>
      <c r="C1855" s="14"/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</row>
    <row r="1856" spans="2:14" x14ac:dyDescent="0.3">
      <c r="B1856" s="14"/>
      <c r="C1856" s="14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</row>
    <row r="1857" spans="2:14" x14ac:dyDescent="0.3">
      <c r="B1857" s="14"/>
      <c r="C1857" s="14"/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</row>
    <row r="1858" spans="2:14" x14ac:dyDescent="0.3">
      <c r="B1858" s="14"/>
      <c r="C1858" s="14"/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</row>
    <row r="1859" spans="2:14" x14ac:dyDescent="0.3">
      <c r="B1859" s="14"/>
      <c r="C1859" s="14"/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</row>
    <row r="1860" spans="2:14" x14ac:dyDescent="0.3">
      <c r="B1860" s="14"/>
      <c r="C1860" s="14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</row>
    <row r="1861" spans="2:14" x14ac:dyDescent="0.3">
      <c r="B1861" s="14"/>
      <c r="C1861" s="14"/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</row>
    <row r="1862" spans="2:14" x14ac:dyDescent="0.3">
      <c r="B1862" s="14"/>
      <c r="C1862" s="14"/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</row>
    <row r="1863" spans="2:14" x14ac:dyDescent="0.3">
      <c r="B1863" s="14"/>
      <c r="C1863" s="14"/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</row>
    <row r="1864" spans="2:14" x14ac:dyDescent="0.3">
      <c r="B1864" s="14"/>
      <c r="C1864" s="14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</row>
    <row r="1865" spans="2:14" x14ac:dyDescent="0.3">
      <c r="B1865" s="14"/>
      <c r="C1865" s="14"/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</row>
    <row r="1866" spans="2:14" x14ac:dyDescent="0.3">
      <c r="B1866" s="14"/>
      <c r="C1866" s="14"/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</row>
    <row r="1867" spans="2:14" x14ac:dyDescent="0.3">
      <c r="B1867" s="14"/>
      <c r="C1867" s="14"/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</row>
    <row r="1868" spans="2:14" x14ac:dyDescent="0.3">
      <c r="B1868" s="14"/>
      <c r="C1868" s="14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</row>
    <row r="1869" spans="2:14" x14ac:dyDescent="0.3">
      <c r="B1869" s="14"/>
      <c r="C1869" s="14"/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</row>
    <row r="1870" spans="2:14" x14ac:dyDescent="0.3">
      <c r="B1870" s="14"/>
      <c r="C1870" s="14"/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</row>
    <row r="1871" spans="2:14" x14ac:dyDescent="0.3">
      <c r="B1871" s="14"/>
      <c r="C1871" s="14"/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</row>
    <row r="1872" spans="2:14" x14ac:dyDescent="0.3">
      <c r="B1872" s="14"/>
      <c r="C1872" s="14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</row>
    <row r="1873" spans="2:14" x14ac:dyDescent="0.3">
      <c r="B1873" s="14"/>
      <c r="C1873" s="14"/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</row>
    <row r="1874" spans="2:14" x14ac:dyDescent="0.3">
      <c r="B1874" s="14"/>
      <c r="C1874" s="14"/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</row>
    <row r="1875" spans="2:14" x14ac:dyDescent="0.3">
      <c r="B1875" s="14"/>
      <c r="C1875" s="14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</row>
    <row r="1876" spans="2:14" x14ac:dyDescent="0.3">
      <c r="B1876" s="14"/>
      <c r="C1876" s="14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</row>
    <row r="1877" spans="2:14" x14ac:dyDescent="0.3">
      <c r="B1877" s="14"/>
      <c r="C1877" s="14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</row>
    <row r="1878" spans="2:14" x14ac:dyDescent="0.3">
      <c r="B1878" s="14"/>
      <c r="C1878" s="14"/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</row>
    <row r="1879" spans="2:14" x14ac:dyDescent="0.3">
      <c r="B1879" s="14"/>
      <c r="C1879" s="14"/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</row>
    <row r="1880" spans="2:14" x14ac:dyDescent="0.3">
      <c r="B1880" s="14"/>
      <c r="C1880" s="14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</row>
    <row r="1881" spans="2:14" x14ac:dyDescent="0.3">
      <c r="B1881" s="14"/>
      <c r="C1881" s="14"/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</row>
    <row r="1882" spans="2:14" x14ac:dyDescent="0.3">
      <c r="B1882" s="14"/>
      <c r="C1882" s="14"/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</row>
    <row r="1883" spans="2:14" x14ac:dyDescent="0.3">
      <c r="B1883" s="14"/>
      <c r="C1883" s="14"/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</row>
    <row r="1884" spans="2:14" x14ac:dyDescent="0.3">
      <c r="B1884" s="14"/>
      <c r="C1884" s="14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</row>
    <row r="1885" spans="2:14" x14ac:dyDescent="0.3">
      <c r="B1885" s="14"/>
      <c r="C1885" s="14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</row>
    <row r="1886" spans="2:14" x14ac:dyDescent="0.3">
      <c r="B1886" s="14"/>
      <c r="C1886" s="14"/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</row>
    <row r="1887" spans="2:14" x14ac:dyDescent="0.3">
      <c r="B1887" s="14"/>
      <c r="C1887" s="14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</row>
    <row r="1888" spans="2:14" x14ac:dyDescent="0.3">
      <c r="B1888" s="14"/>
      <c r="C1888" s="14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</row>
    <row r="1889" spans="2:14" x14ac:dyDescent="0.3">
      <c r="B1889" s="14"/>
      <c r="C1889" s="14"/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</row>
    <row r="1890" spans="2:14" x14ac:dyDescent="0.3">
      <c r="B1890" s="14"/>
      <c r="C1890" s="14"/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</row>
    <row r="1891" spans="2:14" x14ac:dyDescent="0.3">
      <c r="B1891" s="14"/>
      <c r="C1891" s="14"/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</row>
    <row r="1892" spans="2:14" x14ac:dyDescent="0.3">
      <c r="B1892" s="14"/>
      <c r="C1892" s="14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</row>
    <row r="1893" spans="2:14" x14ac:dyDescent="0.3">
      <c r="B1893" s="14"/>
      <c r="C1893" s="14"/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</row>
    <row r="1894" spans="2:14" x14ac:dyDescent="0.3">
      <c r="B1894" s="14"/>
      <c r="C1894" s="14"/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</row>
    <row r="1895" spans="2:14" x14ac:dyDescent="0.3">
      <c r="B1895" s="14"/>
      <c r="C1895" s="14"/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</row>
    <row r="1896" spans="2:14" x14ac:dyDescent="0.3">
      <c r="B1896" s="14"/>
      <c r="C1896" s="14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</row>
    <row r="1897" spans="2:14" x14ac:dyDescent="0.3">
      <c r="B1897" s="14"/>
      <c r="C1897" s="14"/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</row>
    <row r="1898" spans="2:14" x14ac:dyDescent="0.3">
      <c r="B1898" s="14"/>
      <c r="C1898" s="14"/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</row>
    <row r="1899" spans="2:14" x14ac:dyDescent="0.3">
      <c r="B1899" s="14"/>
      <c r="C1899" s="14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</row>
    <row r="1900" spans="2:14" x14ac:dyDescent="0.3">
      <c r="B1900" s="14"/>
      <c r="C1900" s="14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</row>
    <row r="1901" spans="2:14" x14ac:dyDescent="0.3">
      <c r="B1901" s="14"/>
      <c r="C1901" s="14"/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</row>
    <row r="1902" spans="2:14" x14ac:dyDescent="0.3">
      <c r="B1902" s="14"/>
      <c r="C1902" s="14"/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</row>
    <row r="1903" spans="2:14" x14ac:dyDescent="0.3">
      <c r="B1903" s="14"/>
      <c r="C1903" s="14"/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</row>
    <row r="1904" spans="2:14" x14ac:dyDescent="0.3">
      <c r="B1904" s="14"/>
      <c r="C1904" s="14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</row>
    <row r="1905" spans="2:14" x14ac:dyDescent="0.3">
      <c r="B1905" s="14"/>
      <c r="C1905" s="14"/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</row>
    <row r="1906" spans="2:14" x14ac:dyDescent="0.3">
      <c r="B1906" s="14"/>
      <c r="C1906" s="14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</row>
    <row r="1907" spans="2:14" x14ac:dyDescent="0.3">
      <c r="B1907" s="14"/>
      <c r="C1907" s="14"/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</row>
    <row r="1908" spans="2:14" x14ac:dyDescent="0.3">
      <c r="B1908" s="14"/>
      <c r="C1908" s="14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</row>
    <row r="1909" spans="2:14" x14ac:dyDescent="0.3">
      <c r="B1909" s="14"/>
      <c r="C1909" s="14"/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</row>
    <row r="1910" spans="2:14" x14ac:dyDescent="0.3">
      <c r="B1910" s="14"/>
      <c r="C1910" s="14"/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</row>
    <row r="1911" spans="2:14" x14ac:dyDescent="0.3">
      <c r="B1911" s="14"/>
      <c r="C1911" s="14"/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</row>
    <row r="1912" spans="2:14" x14ac:dyDescent="0.3">
      <c r="B1912" s="14"/>
      <c r="C1912" s="14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</row>
    <row r="1913" spans="2:14" x14ac:dyDescent="0.3">
      <c r="B1913" s="14"/>
      <c r="C1913" s="14"/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</row>
    <row r="1914" spans="2:14" x14ac:dyDescent="0.3">
      <c r="B1914" s="14"/>
      <c r="C1914" s="14"/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</row>
    <row r="1915" spans="2:14" x14ac:dyDescent="0.3">
      <c r="B1915" s="14"/>
      <c r="C1915" s="14"/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</row>
    <row r="1916" spans="2:14" x14ac:dyDescent="0.3">
      <c r="B1916" s="14"/>
      <c r="C1916" s="14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</row>
    <row r="1917" spans="2:14" x14ac:dyDescent="0.3">
      <c r="B1917" s="14"/>
      <c r="C1917" s="14"/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</row>
    <row r="1918" spans="2:14" x14ac:dyDescent="0.3">
      <c r="B1918" s="14"/>
      <c r="C1918" s="14"/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</row>
    <row r="1919" spans="2:14" x14ac:dyDescent="0.3">
      <c r="B1919" s="14"/>
      <c r="C1919" s="14"/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</row>
    <row r="1920" spans="2:14" x14ac:dyDescent="0.3">
      <c r="B1920" s="14"/>
      <c r="C1920" s="14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</row>
    <row r="1921" spans="2:14" x14ac:dyDescent="0.3">
      <c r="B1921" s="14"/>
      <c r="C1921" s="14"/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</row>
    <row r="1922" spans="2:14" x14ac:dyDescent="0.3">
      <c r="B1922" s="14"/>
      <c r="C1922" s="14"/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</row>
    <row r="1923" spans="2:14" x14ac:dyDescent="0.3">
      <c r="B1923" s="14"/>
      <c r="C1923" s="14"/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</row>
    <row r="1924" spans="2:14" x14ac:dyDescent="0.3">
      <c r="B1924" s="14"/>
      <c r="C1924" s="14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</row>
    <row r="1925" spans="2:14" x14ac:dyDescent="0.3">
      <c r="B1925" s="14"/>
      <c r="C1925" s="14"/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</row>
    <row r="1926" spans="2:14" x14ac:dyDescent="0.3">
      <c r="B1926" s="14"/>
      <c r="C1926" s="14"/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</row>
    <row r="1927" spans="2:14" x14ac:dyDescent="0.3">
      <c r="B1927" s="14"/>
      <c r="C1927" s="14"/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</row>
    <row r="1928" spans="2:14" x14ac:dyDescent="0.3">
      <c r="B1928" s="14"/>
      <c r="C1928" s="14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</row>
    <row r="1929" spans="2:14" x14ac:dyDescent="0.3">
      <c r="B1929" s="14"/>
      <c r="C1929" s="14"/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</row>
    <row r="1930" spans="2:14" x14ac:dyDescent="0.3">
      <c r="B1930" s="14"/>
      <c r="C1930" s="14"/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</row>
    <row r="1931" spans="2:14" x14ac:dyDescent="0.3">
      <c r="B1931" s="14"/>
      <c r="C1931" s="14"/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</row>
    <row r="1932" spans="2:14" x14ac:dyDescent="0.3">
      <c r="B1932" s="14"/>
      <c r="C1932" s="14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</row>
    <row r="1933" spans="2:14" x14ac:dyDescent="0.3">
      <c r="B1933" s="14"/>
      <c r="C1933" s="14"/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</row>
    <row r="1934" spans="2:14" x14ac:dyDescent="0.3">
      <c r="B1934" s="14"/>
      <c r="C1934" s="14"/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</row>
    <row r="1935" spans="2:14" x14ac:dyDescent="0.3">
      <c r="B1935" s="14"/>
      <c r="C1935" s="14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</row>
    <row r="1936" spans="2:14" x14ac:dyDescent="0.3">
      <c r="B1936" s="14"/>
      <c r="C1936" s="14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</row>
    <row r="1937" spans="2:14" x14ac:dyDescent="0.3">
      <c r="B1937" s="14"/>
      <c r="C1937" s="14"/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</row>
    <row r="1938" spans="2:14" x14ac:dyDescent="0.3">
      <c r="B1938" s="14"/>
      <c r="C1938" s="14"/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</row>
    <row r="1939" spans="2:14" x14ac:dyDescent="0.3">
      <c r="B1939" s="14"/>
      <c r="C1939" s="14"/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</row>
    <row r="1940" spans="2:14" x14ac:dyDescent="0.3">
      <c r="B1940" s="14"/>
      <c r="C1940" s="14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</row>
    <row r="1941" spans="2:14" x14ac:dyDescent="0.3">
      <c r="B1941" s="14"/>
      <c r="C1941" s="14"/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</row>
    <row r="1942" spans="2:14" x14ac:dyDescent="0.3">
      <c r="B1942" s="14"/>
      <c r="C1942" s="14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</row>
    <row r="1943" spans="2:14" x14ac:dyDescent="0.3">
      <c r="B1943" s="14"/>
      <c r="C1943" s="14"/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</row>
    <row r="1944" spans="2:14" x14ac:dyDescent="0.3">
      <c r="B1944" s="14"/>
      <c r="C1944" s="14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</row>
    <row r="1945" spans="2:14" x14ac:dyDescent="0.3">
      <c r="B1945" s="14"/>
      <c r="C1945" s="14"/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</row>
    <row r="1946" spans="2:14" x14ac:dyDescent="0.3">
      <c r="B1946" s="14"/>
      <c r="C1946" s="14"/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</row>
    <row r="1947" spans="2:14" x14ac:dyDescent="0.3">
      <c r="B1947" s="14"/>
      <c r="C1947" s="14"/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</row>
    <row r="1948" spans="2:14" x14ac:dyDescent="0.3">
      <c r="B1948" s="14"/>
      <c r="C1948" s="14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</row>
    <row r="1949" spans="2:14" x14ac:dyDescent="0.3">
      <c r="B1949" s="14"/>
      <c r="C1949" s="14"/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</row>
    <row r="1950" spans="2:14" x14ac:dyDescent="0.3">
      <c r="B1950" s="14"/>
      <c r="C1950" s="14"/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</row>
    <row r="1951" spans="2:14" x14ac:dyDescent="0.3">
      <c r="B1951" s="14"/>
      <c r="C1951" s="14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</row>
    <row r="1952" spans="2:14" x14ac:dyDescent="0.3">
      <c r="B1952" s="14"/>
      <c r="C1952" s="14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</row>
    <row r="1953" spans="2:14" x14ac:dyDescent="0.3">
      <c r="B1953" s="14"/>
      <c r="C1953" s="14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</row>
    <row r="1954" spans="2:14" x14ac:dyDescent="0.3">
      <c r="B1954" s="14"/>
      <c r="C1954" s="14"/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</row>
    <row r="1955" spans="2:14" x14ac:dyDescent="0.3">
      <c r="B1955" s="14"/>
      <c r="C1955" s="14"/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</row>
    <row r="1956" spans="2:14" x14ac:dyDescent="0.3">
      <c r="B1956" s="14"/>
      <c r="C1956" s="14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</row>
    <row r="1957" spans="2:14" x14ac:dyDescent="0.3">
      <c r="B1957" s="14"/>
      <c r="C1957" s="14"/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</row>
    <row r="1958" spans="2:14" x14ac:dyDescent="0.3">
      <c r="B1958" s="14"/>
      <c r="C1958" s="14"/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</row>
    <row r="1959" spans="2:14" x14ac:dyDescent="0.3">
      <c r="B1959" s="14"/>
      <c r="C1959" s="14"/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</row>
    <row r="1960" spans="2:14" x14ac:dyDescent="0.3">
      <c r="B1960" s="14"/>
      <c r="C1960" s="14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</row>
    <row r="1961" spans="2:14" x14ac:dyDescent="0.3">
      <c r="B1961" s="14"/>
      <c r="C1961" s="14"/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</row>
    <row r="1962" spans="2:14" x14ac:dyDescent="0.3">
      <c r="B1962" s="14"/>
      <c r="C1962" s="14"/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</row>
    <row r="1963" spans="2:14" x14ac:dyDescent="0.3">
      <c r="B1963" s="14"/>
      <c r="C1963" s="14"/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</row>
    <row r="1964" spans="2:14" x14ac:dyDescent="0.3">
      <c r="B1964" s="14"/>
      <c r="C1964" s="14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</row>
    <row r="1965" spans="2:14" x14ac:dyDescent="0.3">
      <c r="B1965" s="14"/>
      <c r="C1965" s="14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</row>
    <row r="1966" spans="2:14" x14ac:dyDescent="0.3">
      <c r="B1966" s="14"/>
      <c r="C1966" s="14"/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</row>
    <row r="1967" spans="2:14" x14ac:dyDescent="0.3">
      <c r="B1967" s="14"/>
      <c r="C1967" s="14"/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</row>
    <row r="1968" spans="2:14" x14ac:dyDescent="0.3">
      <c r="B1968" s="14"/>
      <c r="C1968" s="14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</row>
    <row r="1969" spans="2:14" x14ac:dyDescent="0.3">
      <c r="B1969" s="14"/>
      <c r="C1969" s="14"/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</row>
    <row r="1970" spans="2:14" x14ac:dyDescent="0.3">
      <c r="B1970" s="14"/>
      <c r="C1970" s="14"/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</row>
    <row r="1971" spans="2:14" x14ac:dyDescent="0.3">
      <c r="B1971" s="14"/>
      <c r="C1971" s="14"/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</row>
    <row r="1972" spans="2:14" x14ac:dyDescent="0.3">
      <c r="B1972" s="14"/>
      <c r="C1972" s="14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</row>
    <row r="1973" spans="2:14" x14ac:dyDescent="0.3">
      <c r="B1973" s="14"/>
      <c r="C1973" s="14"/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</row>
    <row r="1974" spans="2:14" x14ac:dyDescent="0.3">
      <c r="B1974" s="14"/>
      <c r="C1974" s="14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</row>
    <row r="1975" spans="2:14" x14ac:dyDescent="0.3">
      <c r="B1975" s="14"/>
      <c r="C1975" s="14"/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</row>
    <row r="1976" spans="2:14" x14ac:dyDescent="0.3">
      <c r="B1976" s="14"/>
      <c r="C1976" s="14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</row>
    <row r="1977" spans="2:14" x14ac:dyDescent="0.3">
      <c r="B1977" s="14"/>
      <c r="C1977" s="14"/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</row>
    <row r="1978" spans="2:14" x14ac:dyDescent="0.3">
      <c r="B1978" s="14"/>
      <c r="C1978" s="14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</row>
    <row r="1979" spans="2:14" x14ac:dyDescent="0.3">
      <c r="B1979" s="14"/>
      <c r="C1979" s="14"/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</row>
    <row r="1980" spans="2:14" x14ac:dyDescent="0.3">
      <c r="B1980" s="14"/>
      <c r="C1980" s="14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</row>
    <row r="1981" spans="2:14" x14ac:dyDescent="0.3">
      <c r="B1981" s="14"/>
      <c r="C1981" s="14"/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</row>
    <row r="1982" spans="2:14" x14ac:dyDescent="0.3">
      <c r="B1982" s="14"/>
      <c r="C1982" s="14"/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</row>
    <row r="1983" spans="2:14" x14ac:dyDescent="0.3">
      <c r="B1983" s="14"/>
      <c r="C1983" s="14"/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</row>
    <row r="1984" spans="2:14" x14ac:dyDescent="0.3">
      <c r="B1984" s="14"/>
      <c r="C1984" s="14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</row>
    <row r="1985" spans="2:14" x14ac:dyDescent="0.3">
      <c r="B1985" s="14"/>
      <c r="C1985" s="14"/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</row>
    <row r="1986" spans="2:14" x14ac:dyDescent="0.3">
      <c r="B1986" s="14"/>
      <c r="C1986" s="14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</row>
    <row r="1987" spans="2:14" x14ac:dyDescent="0.3">
      <c r="B1987" s="14"/>
      <c r="C1987" s="14"/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</row>
    <row r="1988" spans="2:14" x14ac:dyDescent="0.3">
      <c r="B1988" s="14"/>
      <c r="C1988" s="14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</row>
    <row r="1989" spans="2:14" x14ac:dyDescent="0.3">
      <c r="B1989" s="14"/>
      <c r="C1989" s="14"/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</row>
    <row r="1990" spans="2:14" x14ac:dyDescent="0.3">
      <c r="B1990" s="14"/>
      <c r="C1990" s="14"/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</row>
    <row r="1991" spans="2:14" x14ac:dyDescent="0.3">
      <c r="B1991" s="14"/>
      <c r="C1991" s="14"/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</row>
    <row r="1992" spans="2:14" x14ac:dyDescent="0.3">
      <c r="B1992" s="14"/>
      <c r="C1992" s="14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</row>
    <row r="1993" spans="2:14" x14ac:dyDescent="0.3">
      <c r="B1993" s="14"/>
      <c r="C1993" s="14"/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</row>
    <row r="1994" spans="2:14" x14ac:dyDescent="0.3">
      <c r="B1994" s="14"/>
      <c r="C1994" s="14"/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</row>
    <row r="1995" spans="2:14" x14ac:dyDescent="0.3">
      <c r="B1995" s="14"/>
      <c r="C1995" s="14"/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</row>
    <row r="1996" spans="2:14" x14ac:dyDescent="0.3">
      <c r="B1996" s="14"/>
      <c r="C1996" s="14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</row>
    <row r="1997" spans="2:14" x14ac:dyDescent="0.3">
      <c r="B1997" s="14"/>
      <c r="C1997" s="14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</row>
    <row r="1998" spans="2:14" x14ac:dyDescent="0.3">
      <c r="B1998" s="14"/>
      <c r="C1998" s="14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</row>
    <row r="1999" spans="2:14" x14ac:dyDescent="0.3">
      <c r="B1999" s="14"/>
      <c r="C1999" s="14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</row>
    <row r="2000" spans="2:14" x14ac:dyDescent="0.3">
      <c r="B2000" s="14"/>
      <c r="C2000" s="14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</row>
    <row r="2001" spans="2:14" x14ac:dyDescent="0.3">
      <c r="B2001" s="14"/>
      <c r="C2001" s="14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</row>
    <row r="2002" spans="2:14" x14ac:dyDescent="0.3">
      <c r="B2002" s="14"/>
      <c r="C2002" s="14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</row>
    <row r="2003" spans="2:14" x14ac:dyDescent="0.3">
      <c r="B2003" s="14"/>
      <c r="C2003" s="14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</row>
    <row r="2004" spans="2:14" x14ac:dyDescent="0.3">
      <c r="B2004" s="14"/>
      <c r="C2004" s="14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</row>
    <row r="2005" spans="2:14" x14ac:dyDescent="0.3">
      <c r="B2005" s="14"/>
      <c r="C2005" s="14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</row>
    <row r="2006" spans="2:14" x14ac:dyDescent="0.3">
      <c r="B2006" s="14"/>
      <c r="C2006" s="14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</row>
    <row r="2007" spans="2:14" x14ac:dyDescent="0.3">
      <c r="B2007" s="14"/>
      <c r="C2007" s="14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</row>
    <row r="2008" spans="2:14" x14ac:dyDescent="0.3">
      <c r="B2008" s="14"/>
      <c r="C2008" s="14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</row>
    <row r="2009" spans="2:14" x14ac:dyDescent="0.3">
      <c r="B2009" s="14"/>
      <c r="C2009" s="14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</row>
    <row r="2010" spans="2:14" x14ac:dyDescent="0.3">
      <c r="B2010" s="14"/>
      <c r="C2010" s="14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</row>
    <row r="2011" spans="2:14" x14ac:dyDescent="0.3">
      <c r="B2011" s="14"/>
      <c r="C2011" s="14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</row>
    <row r="2012" spans="2:14" x14ac:dyDescent="0.3">
      <c r="B2012" s="14"/>
      <c r="C2012" s="14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</row>
    <row r="2013" spans="2:14" x14ac:dyDescent="0.3">
      <c r="B2013" s="14"/>
      <c r="C2013" s="14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</row>
    <row r="2014" spans="2:14" x14ac:dyDescent="0.3">
      <c r="B2014" s="14"/>
      <c r="C2014" s="14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</row>
    <row r="2015" spans="2:14" x14ac:dyDescent="0.3">
      <c r="B2015" s="14"/>
      <c r="C2015" s="14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</row>
    <row r="2016" spans="2:14" x14ac:dyDescent="0.3">
      <c r="B2016" s="14"/>
      <c r="C2016" s="14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</row>
    <row r="2017" spans="2:14" x14ac:dyDescent="0.3">
      <c r="B2017" s="14"/>
      <c r="C2017" s="14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</row>
    <row r="2018" spans="2:14" x14ac:dyDescent="0.3">
      <c r="B2018" s="14"/>
      <c r="C2018" s="14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</row>
    <row r="2019" spans="2:14" x14ac:dyDescent="0.3">
      <c r="B2019" s="14"/>
      <c r="C2019" s="14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</row>
    <row r="2020" spans="2:14" x14ac:dyDescent="0.3">
      <c r="B2020" s="14"/>
      <c r="C2020" s="14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</row>
    <row r="2021" spans="2:14" x14ac:dyDescent="0.3">
      <c r="B2021" s="14"/>
      <c r="C2021" s="14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</row>
    <row r="2022" spans="2:14" x14ac:dyDescent="0.3">
      <c r="B2022" s="14"/>
      <c r="C2022" s="14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</row>
    <row r="2023" spans="2:14" x14ac:dyDescent="0.3">
      <c r="B2023" s="14"/>
      <c r="C2023" s="14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</row>
    <row r="2024" spans="2:14" x14ac:dyDescent="0.3">
      <c r="B2024" s="14"/>
      <c r="C2024" s="14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</row>
    <row r="2025" spans="2:14" x14ac:dyDescent="0.3">
      <c r="B2025" s="14"/>
      <c r="C2025" s="14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</row>
    <row r="2026" spans="2:14" x14ac:dyDescent="0.3">
      <c r="B2026" s="14"/>
      <c r="C2026" s="14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</row>
    <row r="2027" spans="2:14" x14ac:dyDescent="0.3">
      <c r="B2027" s="14"/>
      <c r="C2027" s="14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</row>
    <row r="2028" spans="2:14" x14ac:dyDescent="0.3">
      <c r="B2028" s="14"/>
      <c r="C2028" s="14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</row>
    <row r="2029" spans="2:14" x14ac:dyDescent="0.3">
      <c r="B2029" s="14"/>
      <c r="C2029" s="14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</row>
    <row r="2030" spans="2:14" x14ac:dyDescent="0.3">
      <c r="B2030" s="14"/>
      <c r="C2030" s="14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</row>
    <row r="2031" spans="2:14" x14ac:dyDescent="0.3">
      <c r="B2031" s="14"/>
      <c r="C2031" s="14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</row>
    <row r="2032" spans="2:14" x14ac:dyDescent="0.3">
      <c r="B2032" s="14"/>
      <c r="C2032" s="14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</row>
    <row r="2033" spans="2:14" x14ac:dyDescent="0.3">
      <c r="B2033" s="14"/>
      <c r="C2033" s="14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</row>
    <row r="2034" spans="2:14" x14ac:dyDescent="0.3">
      <c r="B2034" s="14"/>
      <c r="C2034" s="14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</row>
    <row r="2035" spans="2:14" x14ac:dyDescent="0.3">
      <c r="B2035" s="14"/>
      <c r="C2035" s="14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</row>
    <row r="2036" spans="2:14" x14ac:dyDescent="0.3">
      <c r="B2036" s="14"/>
      <c r="C2036" s="14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</row>
    <row r="2037" spans="2:14" x14ac:dyDescent="0.3">
      <c r="B2037" s="14"/>
      <c r="C2037" s="14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</row>
    <row r="2038" spans="2:14" x14ac:dyDescent="0.3">
      <c r="B2038" s="14"/>
      <c r="C2038" s="14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</row>
    <row r="2039" spans="2:14" x14ac:dyDescent="0.3">
      <c r="B2039" s="14"/>
      <c r="C2039" s="14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</row>
    <row r="2040" spans="2:14" x14ac:dyDescent="0.3">
      <c r="B2040" s="14"/>
      <c r="C2040" s="14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</row>
    <row r="2041" spans="2:14" x14ac:dyDescent="0.3">
      <c r="B2041" s="14"/>
      <c r="C2041" s="14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</row>
    <row r="2042" spans="2:14" x14ac:dyDescent="0.3">
      <c r="B2042" s="14"/>
      <c r="C2042" s="14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</row>
    <row r="2043" spans="2:14" x14ac:dyDescent="0.3">
      <c r="B2043" s="14"/>
      <c r="C2043" s="14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</row>
    <row r="2044" spans="2:14" x14ac:dyDescent="0.3">
      <c r="B2044" s="14"/>
      <c r="C2044" s="14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</row>
    <row r="2045" spans="2:14" x14ac:dyDescent="0.3">
      <c r="B2045" s="14"/>
      <c r="C2045" s="14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</row>
    <row r="2046" spans="2:14" x14ac:dyDescent="0.3">
      <c r="B2046" s="14"/>
      <c r="C2046" s="14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</row>
    <row r="2047" spans="2:14" x14ac:dyDescent="0.3">
      <c r="B2047" s="14"/>
      <c r="C2047" s="14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</row>
    <row r="2048" spans="2:14" x14ac:dyDescent="0.3">
      <c r="B2048" s="14"/>
      <c r="C2048" s="14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</row>
    <row r="2049" spans="2:14" x14ac:dyDescent="0.3">
      <c r="B2049" s="14"/>
      <c r="C2049" s="14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</row>
    <row r="2050" spans="2:14" x14ac:dyDescent="0.3">
      <c r="B2050" s="14"/>
      <c r="C2050" s="14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</row>
    <row r="2051" spans="2:14" x14ac:dyDescent="0.3">
      <c r="B2051" s="14"/>
      <c r="C2051" s="14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</row>
    <row r="2052" spans="2:14" x14ac:dyDescent="0.3">
      <c r="B2052" s="14"/>
      <c r="C2052" s="14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</row>
    <row r="2053" spans="2:14" x14ac:dyDescent="0.3">
      <c r="B2053" s="14"/>
      <c r="C2053" s="14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</row>
    <row r="2054" spans="2:14" x14ac:dyDescent="0.3">
      <c r="B2054" s="14"/>
      <c r="C2054" s="14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</row>
    <row r="2055" spans="2:14" x14ac:dyDescent="0.3">
      <c r="B2055" s="14"/>
      <c r="C2055" s="14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</row>
    <row r="2056" spans="2:14" x14ac:dyDescent="0.3">
      <c r="B2056" s="14"/>
      <c r="C2056" s="14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</row>
    <row r="2057" spans="2:14" x14ac:dyDescent="0.3">
      <c r="B2057" s="14"/>
      <c r="C2057" s="14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</row>
    <row r="2058" spans="2:14" x14ac:dyDescent="0.3">
      <c r="B2058" s="14"/>
      <c r="C2058" s="14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</row>
    <row r="2059" spans="2:14" x14ac:dyDescent="0.3">
      <c r="B2059" s="14"/>
      <c r="C2059" s="14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</row>
    <row r="2060" spans="2:14" x14ac:dyDescent="0.3">
      <c r="B2060" s="14"/>
      <c r="C2060" s="14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</row>
    <row r="2061" spans="2:14" x14ac:dyDescent="0.3">
      <c r="B2061" s="14"/>
      <c r="C2061" s="14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</row>
    <row r="2062" spans="2:14" x14ac:dyDescent="0.3">
      <c r="B2062" s="14"/>
      <c r="C2062" s="14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</row>
    <row r="2063" spans="2:14" x14ac:dyDescent="0.3">
      <c r="B2063" s="14"/>
      <c r="C2063" s="14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</row>
    <row r="2064" spans="2:14" x14ac:dyDescent="0.3">
      <c r="B2064" s="14"/>
      <c r="C2064" s="14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</row>
    <row r="2065" spans="2:14" x14ac:dyDescent="0.3">
      <c r="B2065" s="14"/>
      <c r="C2065" s="14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</row>
    <row r="2066" spans="2:14" x14ac:dyDescent="0.3">
      <c r="B2066" s="14"/>
      <c r="C2066" s="14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</row>
    <row r="2067" spans="2:14" x14ac:dyDescent="0.3">
      <c r="B2067" s="14"/>
      <c r="C2067" s="14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</row>
    <row r="2068" spans="2:14" x14ac:dyDescent="0.3">
      <c r="B2068" s="14"/>
      <c r="C2068" s="14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</row>
    <row r="2069" spans="2:14" x14ac:dyDescent="0.3">
      <c r="B2069" s="14"/>
      <c r="C2069" s="14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</row>
    <row r="2070" spans="2:14" x14ac:dyDescent="0.3">
      <c r="B2070" s="14"/>
      <c r="C2070" s="14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</row>
    <row r="2071" spans="2:14" x14ac:dyDescent="0.3">
      <c r="B2071" s="14"/>
      <c r="C2071" s="14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</row>
    <row r="2072" spans="2:14" x14ac:dyDescent="0.3">
      <c r="B2072" s="14"/>
      <c r="C2072" s="14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</row>
    <row r="2073" spans="2:14" x14ac:dyDescent="0.3">
      <c r="B2073" s="14"/>
      <c r="C2073" s="14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</row>
    <row r="2074" spans="2:14" x14ac:dyDescent="0.3">
      <c r="B2074" s="14"/>
      <c r="C2074" s="14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</row>
    <row r="2075" spans="2:14" x14ac:dyDescent="0.3">
      <c r="B2075" s="14"/>
      <c r="C2075" s="14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</row>
    <row r="2076" spans="2:14" x14ac:dyDescent="0.3">
      <c r="B2076" s="14"/>
      <c r="C2076" s="14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</row>
    <row r="2077" spans="2:14" x14ac:dyDescent="0.3">
      <c r="B2077" s="14"/>
      <c r="C2077" s="14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</row>
    <row r="2078" spans="2:14" x14ac:dyDescent="0.3">
      <c r="B2078" s="14"/>
      <c r="C2078" s="14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</row>
    <row r="2079" spans="2:14" x14ac:dyDescent="0.3">
      <c r="B2079" s="14"/>
      <c r="C2079" s="14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</row>
    <row r="2080" spans="2:14" x14ac:dyDescent="0.3">
      <c r="B2080" s="14"/>
      <c r="C2080" s="14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</row>
    <row r="2081" spans="2:14" x14ac:dyDescent="0.3">
      <c r="B2081" s="14"/>
      <c r="C2081" s="14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</row>
    <row r="2082" spans="2:14" x14ac:dyDescent="0.3">
      <c r="B2082" s="14"/>
      <c r="C2082" s="14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</row>
    <row r="2083" spans="2:14" x14ac:dyDescent="0.3">
      <c r="B2083" s="14"/>
      <c r="C2083" s="14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</row>
    <row r="2084" spans="2:14" x14ac:dyDescent="0.3">
      <c r="B2084" s="14"/>
      <c r="C2084" s="14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</row>
    <row r="2085" spans="2:14" x14ac:dyDescent="0.3">
      <c r="B2085" s="14"/>
      <c r="C2085" s="14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</row>
    <row r="2086" spans="2:14" x14ac:dyDescent="0.3">
      <c r="B2086" s="14"/>
      <c r="C2086" s="14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</row>
    <row r="2087" spans="2:14" x14ac:dyDescent="0.3">
      <c r="B2087" s="14"/>
      <c r="C2087" s="14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</row>
    <row r="2088" spans="2:14" x14ac:dyDescent="0.3">
      <c r="B2088" s="14"/>
      <c r="C2088" s="14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</row>
    <row r="2089" spans="2:14" x14ac:dyDescent="0.3">
      <c r="B2089" s="14"/>
      <c r="C2089" s="14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</row>
    <row r="2090" spans="2:14" x14ac:dyDescent="0.3">
      <c r="B2090" s="14"/>
      <c r="C2090" s="14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</row>
    <row r="2091" spans="2:14" x14ac:dyDescent="0.3">
      <c r="B2091" s="14"/>
      <c r="C2091" s="14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</row>
    <row r="2092" spans="2:14" x14ac:dyDescent="0.3">
      <c r="B2092" s="14"/>
      <c r="C2092" s="14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</row>
    <row r="2093" spans="2:14" x14ac:dyDescent="0.3">
      <c r="B2093" s="14"/>
      <c r="C2093" s="14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</row>
    <row r="2094" spans="2:14" x14ac:dyDescent="0.3">
      <c r="B2094" s="14"/>
      <c r="C2094" s="14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</row>
    <row r="2095" spans="2:14" x14ac:dyDescent="0.3">
      <c r="B2095" s="14"/>
      <c r="C2095" s="14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</row>
    <row r="2096" spans="2:14" x14ac:dyDescent="0.3">
      <c r="B2096" s="14"/>
      <c r="C2096" s="14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</row>
    <row r="2097" spans="2:14" x14ac:dyDescent="0.3">
      <c r="B2097" s="14"/>
      <c r="C2097" s="14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</row>
    <row r="2098" spans="2:14" x14ac:dyDescent="0.3">
      <c r="B2098" s="14"/>
      <c r="C2098" s="14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</row>
    <row r="2099" spans="2:14" x14ac:dyDescent="0.3">
      <c r="B2099" s="14"/>
      <c r="C2099" s="14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</row>
    <row r="2100" spans="2:14" x14ac:dyDescent="0.3">
      <c r="B2100" s="14"/>
      <c r="C2100" s="14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</row>
    <row r="2101" spans="2:14" x14ac:dyDescent="0.3">
      <c r="B2101" s="14"/>
      <c r="C2101" s="14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</row>
    <row r="2102" spans="2:14" x14ac:dyDescent="0.3">
      <c r="B2102" s="14"/>
      <c r="C2102" s="14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</row>
    <row r="2103" spans="2:14" x14ac:dyDescent="0.3">
      <c r="B2103" s="14"/>
      <c r="C2103" s="14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</row>
    <row r="2104" spans="2:14" x14ac:dyDescent="0.3">
      <c r="B2104" s="14"/>
      <c r="C2104" s="14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</row>
    <row r="2105" spans="2:14" x14ac:dyDescent="0.3">
      <c r="B2105" s="14"/>
      <c r="C2105" s="14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</row>
    <row r="2106" spans="2:14" x14ac:dyDescent="0.3">
      <c r="B2106" s="14"/>
      <c r="C2106" s="14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</row>
    <row r="2107" spans="2:14" x14ac:dyDescent="0.3">
      <c r="B2107" s="14"/>
      <c r="C2107" s="14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</row>
    <row r="2108" spans="2:14" x14ac:dyDescent="0.3">
      <c r="B2108" s="14"/>
      <c r="C2108" s="14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</row>
    <row r="2109" spans="2:14" x14ac:dyDescent="0.3">
      <c r="B2109" s="14"/>
      <c r="C2109" s="14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</row>
    <row r="2110" spans="2:14" x14ac:dyDescent="0.3">
      <c r="B2110" s="14"/>
      <c r="C2110" s="14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</row>
    <row r="2111" spans="2:14" x14ac:dyDescent="0.3">
      <c r="B2111" s="14"/>
      <c r="C2111" s="14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</row>
    <row r="2112" spans="2:14" x14ac:dyDescent="0.3">
      <c r="B2112" s="14"/>
      <c r="C2112" s="14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</row>
    <row r="2113" spans="2:14" x14ac:dyDescent="0.3">
      <c r="B2113" s="14"/>
      <c r="C2113" s="14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</row>
    <row r="2114" spans="2:14" x14ac:dyDescent="0.3">
      <c r="B2114" s="14"/>
      <c r="C2114" s="14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</row>
    <row r="2115" spans="2:14" x14ac:dyDescent="0.3">
      <c r="B2115" s="14"/>
      <c r="C2115" s="14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</row>
    <row r="2116" spans="2:14" x14ac:dyDescent="0.3">
      <c r="B2116" s="14"/>
      <c r="C2116" s="14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</row>
    <row r="2117" spans="2:14" x14ac:dyDescent="0.3">
      <c r="B2117" s="14"/>
      <c r="C2117" s="14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</row>
    <row r="2118" spans="2:14" x14ac:dyDescent="0.3">
      <c r="B2118" s="14"/>
      <c r="C2118" s="14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</row>
    <row r="2119" spans="2:14" x14ac:dyDescent="0.3">
      <c r="B2119" s="14"/>
      <c r="C2119" s="14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</row>
    <row r="2120" spans="2:14" x14ac:dyDescent="0.3">
      <c r="B2120" s="14"/>
      <c r="C2120" s="14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</row>
    <row r="2121" spans="2:14" x14ac:dyDescent="0.3">
      <c r="B2121" s="14"/>
      <c r="C2121" s="14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</row>
    <row r="2122" spans="2:14" x14ac:dyDescent="0.3">
      <c r="B2122" s="14"/>
      <c r="C2122" s="14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</row>
    <row r="2123" spans="2:14" x14ac:dyDescent="0.3">
      <c r="B2123" s="14"/>
      <c r="C2123" s="14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</row>
    <row r="2124" spans="2:14" x14ac:dyDescent="0.3">
      <c r="B2124" s="14"/>
      <c r="C2124" s="14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</row>
    <row r="2125" spans="2:14" x14ac:dyDescent="0.3">
      <c r="B2125" s="14"/>
      <c r="C2125" s="14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</row>
    <row r="2126" spans="2:14" x14ac:dyDescent="0.3">
      <c r="B2126" s="14"/>
      <c r="C2126" s="14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</row>
    <row r="2127" spans="2:14" x14ac:dyDescent="0.3">
      <c r="B2127" s="14"/>
      <c r="C2127" s="14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</row>
    <row r="2128" spans="2:14" x14ac:dyDescent="0.3">
      <c r="B2128" s="14"/>
      <c r="C2128" s="14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</row>
    <row r="2129" spans="2:14" x14ac:dyDescent="0.3">
      <c r="B2129" s="14"/>
      <c r="C2129" s="14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</row>
    <row r="2130" spans="2:14" x14ac:dyDescent="0.3">
      <c r="B2130" s="14"/>
      <c r="C2130" s="14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</row>
    <row r="2131" spans="2:14" x14ac:dyDescent="0.3">
      <c r="B2131" s="14"/>
      <c r="C2131" s="14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</row>
    <row r="2132" spans="2:14" x14ac:dyDescent="0.3">
      <c r="B2132" s="14"/>
      <c r="C2132" s="14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</row>
    <row r="2133" spans="2:14" x14ac:dyDescent="0.3">
      <c r="B2133" s="14"/>
      <c r="C2133" s="14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</row>
    <row r="2134" spans="2:14" x14ac:dyDescent="0.3">
      <c r="B2134" s="14"/>
      <c r="C2134" s="14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</row>
    <row r="2135" spans="2:14" x14ac:dyDescent="0.3">
      <c r="B2135" s="14"/>
      <c r="C2135" s="14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</row>
    <row r="2136" spans="2:14" x14ac:dyDescent="0.3">
      <c r="B2136" s="14"/>
      <c r="C2136" s="14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</row>
    <row r="2137" spans="2:14" x14ac:dyDescent="0.3">
      <c r="B2137" s="14"/>
      <c r="C2137" s="14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</row>
    <row r="2138" spans="2:14" x14ac:dyDescent="0.3">
      <c r="B2138" s="14"/>
      <c r="C2138" s="14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</row>
    <row r="2139" spans="2:14" x14ac:dyDescent="0.3">
      <c r="B2139" s="14"/>
      <c r="C2139" s="14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</row>
    <row r="2140" spans="2:14" x14ac:dyDescent="0.3">
      <c r="B2140" s="14"/>
      <c r="C2140" s="14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</row>
    <row r="2141" spans="2:14" x14ac:dyDescent="0.3">
      <c r="B2141" s="14"/>
      <c r="C2141" s="14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</row>
    <row r="2142" spans="2:14" x14ac:dyDescent="0.3">
      <c r="B2142" s="14"/>
      <c r="C2142" s="14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</row>
    <row r="2143" spans="2:14" x14ac:dyDescent="0.3">
      <c r="B2143" s="14"/>
      <c r="C2143" s="14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</row>
    <row r="2144" spans="2:14" x14ac:dyDescent="0.3">
      <c r="B2144" s="14"/>
      <c r="C2144" s="14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</row>
    <row r="2145" spans="2:14" x14ac:dyDescent="0.3">
      <c r="B2145" s="14"/>
      <c r="C2145" s="14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</row>
    <row r="2146" spans="2:14" x14ac:dyDescent="0.3">
      <c r="B2146" s="14"/>
      <c r="C2146" s="14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</row>
    <row r="2147" spans="2:14" x14ac:dyDescent="0.3">
      <c r="B2147" s="14"/>
      <c r="C2147" s="14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</row>
    <row r="2148" spans="2:14" x14ac:dyDescent="0.3">
      <c r="B2148" s="14"/>
      <c r="C2148" s="14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</row>
    <row r="2149" spans="2:14" x14ac:dyDescent="0.3">
      <c r="B2149" s="14"/>
      <c r="C2149" s="14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</row>
    <row r="2150" spans="2:14" x14ac:dyDescent="0.3">
      <c r="B2150" s="14"/>
      <c r="C2150" s="14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</row>
    <row r="2151" spans="2:14" x14ac:dyDescent="0.3">
      <c r="B2151" s="14"/>
      <c r="C2151" s="14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</row>
    <row r="2152" spans="2:14" x14ac:dyDescent="0.3">
      <c r="B2152" s="14"/>
      <c r="C2152" s="14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</row>
    <row r="2153" spans="2:14" x14ac:dyDescent="0.3">
      <c r="B2153" s="14"/>
      <c r="C2153" s="14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</row>
    <row r="2154" spans="2:14" x14ac:dyDescent="0.3">
      <c r="B2154" s="14"/>
      <c r="C2154" s="14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</row>
    <row r="2155" spans="2:14" x14ac:dyDescent="0.3">
      <c r="B2155" s="14"/>
      <c r="C2155" s="14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</row>
    <row r="2156" spans="2:14" x14ac:dyDescent="0.3">
      <c r="B2156" s="14"/>
      <c r="C2156" s="14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</row>
    <row r="2157" spans="2:14" x14ac:dyDescent="0.3">
      <c r="B2157" s="14"/>
      <c r="C2157" s="14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</row>
    <row r="2158" spans="2:14" x14ac:dyDescent="0.3">
      <c r="B2158" s="14"/>
      <c r="C2158" s="14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</row>
    <row r="2159" spans="2:14" x14ac:dyDescent="0.3">
      <c r="B2159" s="14"/>
      <c r="C2159" s="14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</row>
    <row r="2160" spans="2:14" x14ac:dyDescent="0.3">
      <c r="B2160" s="14"/>
      <c r="C2160" s="14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</row>
    <row r="2161" spans="2:14" x14ac:dyDescent="0.3">
      <c r="B2161" s="14"/>
      <c r="C2161" s="14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</row>
    <row r="2162" spans="2:14" x14ac:dyDescent="0.3">
      <c r="B2162" s="14"/>
      <c r="C2162" s="14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</row>
    <row r="2163" spans="2:14" x14ac:dyDescent="0.3">
      <c r="B2163" s="14"/>
      <c r="C2163" s="14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</row>
    <row r="2164" spans="2:14" x14ac:dyDescent="0.3">
      <c r="B2164" s="14"/>
      <c r="C2164" s="14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</row>
    <row r="2165" spans="2:14" x14ac:dyDescent="0.3">
      <c r="B2165" s="14"/>
      <c r="C2165" s="14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</row>
    <row r="2166" spans="2:14" x14ac:dyDescent="0.3">
      <c r="B2166" s="14"/>
      <c r="C2166" s="14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</row>
    <row r="2167" spans="2:14" x14ac:dyDescent="0.3">
      <c r="B2167" s="14"/>
      <c r="C2167" s="14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</row>
    <row r="2168" spans="2:14" x14ac:dyDescent="0.3">
      <c r="B2168" s="14"/>
      <c r="C2168" s="14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</row>
    <row r="2169" spans="2:14" x14ac:dyDescent="0.3">
      <c r="B2169" s="14"/>
      <c r="C2169" s="14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</row>
    <row r="2170" spans="2:14" x14ac:dyDescent="0.3">
      <c r="B2170" s="14"/>
      <c r="C2170" s="14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</row>
    <row r="2171" spans="2:14" x14ac:dyDescent="0.3">
      <c r="B2171" s="14"/>
      <c r="C2171" s="14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</row>
    <row r="2172" spans="2:14" x14ac:dyDescent="0.3">
      <c r="B2172" s="14"/>
      <c r="C2172" s="14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</row>
    <row r="2173" spans="2:14" x14ac:dyDescent="0.3">
      <c r="B2173" s="14"/>
      <c r="C2173" s="14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</row>
    <row r="2174" spans="2:14" x14ac:dyDescent="0.3">
      <c r="B2174" s="14"/>
      <c r="C2174" s="14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</row>
    <row r="2175" spans="2:14" x14ac:dyDescent="0.3">
      <c r="B2175" s="14"/>
      <c r="C2175" s="14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</row>
    <row r="2176" spans="2:14" x14ac:dyDescent="0.3">
      <c r="B2176" s="14"/>
      <c r="C2176" s="14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</row>
    <row r="2177" spans="2:14" x14ac:dyDescent="0.3">
      <c r="B2177" s="14"/>
      <c r="C2177" s="14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</row>
    <row r="2178" spans="2:14" x14ac:dyDescent="0.3">
      <c r="B2178" s="14"/>
      <c r="C2178" s="14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</row>
    <row r="2179" spans="2:14" x14ac:dyDescent="0.3">
      <c r="B2179" s="14"/>
      <c r="C2179" s="14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</row>
    <row r="2180" spans="2:14" x14ac:dyDescent="0.3">
      <c r="B2180" s="14"/>
      <c r="C2180" s="14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</row>
    <row r="2181" spans="2:14" x14ac:dyDescent="0.3">
      <c r="B2181" s="14"/>
      <c r="C2181" s="14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</row>
    <row r="2182" spans="2:14" x14ac:dyDescent="0.3">
      <c r="B2182" s="14"/>
      <c r="C2182" s="14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</row>
    <row r="2183" spans="2:14" x14ac:dyDescent="0.3">
      <c r="B2183" s="14"/>
      <c r="C2183" s="14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</row>
    <row r="2184" spans="2:14" x14ac:dyDescent="0.3">
      <c r="B2184" s="14"/>
      <c r="C2184" s="14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</row>
    <row r="2185" spans="2:14" x14ac:dyDescent="0.3">
      <c r="B2185" s="14"/>
      <c r="C2185" s="14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</row>
    <row r="2186" spans="2:14" x14ac:dyDescent="0.3">
      <c r="B2186" s="14"/>
      <c r="C2186" s="14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</row>
    <row r="2187" spans="2:14" x14ac:dyDescent="0.3">
      <c r="B2187" s="14"/>
      <c r="C2187" s="14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</row>
    <row r="2188" spans="2:14" x14ac:dyDescent="0.3">
      <c r="B2188" s="14"/>
      <c r="C2188" s="14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</row>
    <row r="2189" spans="2:14" x14ac:dyDescent="0.3">
      <c r="B2189" s="14"/>
      <c r="C2189" s="14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</row>
    <row r="2190" spans="2:14" x14ac:dyDescent="0.3">
      <c r="B2190" s="14"/>
      <c r="C2190" s="14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</row>
    <row r="2191" spans="2:14" x14ac:dyDescent="0.3">
      <c r="B2191" s="14"/>
      <c r="C2191" s="14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</row>
    <row r="2192" spans="2:14" x14ac:dyDescent="0.3">
      <c r="B2192" s="14"/>
      <c r="C2192" s="14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</row>
    <row r="2193" spans="2:14" x14ac:dyDescent="0.3">
      <c r="B2193" s="14"/>
      <c r="C2193" s="14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</row>
    <row r="2194" spans="2:14" x14ac:dyDescent="0.3">
      <c r="B2194" s="14"/>
      <c r="C2194" s="14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</row>
    <row r="2195" spans="2:14" x14ac:dyDescent="0.3">
      <c r="B2195" s="14"/>
      <c r="C2195" s="14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</row>
    <row r="2196" spans="2:14" x14ac:dyDescent="0.3">
      <c r="B2196" s="14"/>
      <c r="C2196" s="14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</row>
    <row r="2197" spans="2:14" x14ac:dyDescent="0.3">
      <c r="B2197" s="14"/>
      <c r="C2197" s="14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</row>
    <row r="2198" spans="2:14" x14ac:dyDescent="0.3">
      <c r="B2198" s="14"/>
      <c r="C2198" s="14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</row>
    <row r="2199" spans="2:14" x14ac:dyDescent="0.3">
      <c r="B2199" s="14"/>
      <c r="C2199" s="14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</row>
    <row r="2200" spans="2:14" x14ac:dyDescent="0.3">
      <c r="B2200" s="14"/>
      <c r="C2200" s="14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</row>
    <row r="2201" spans="2:14" x14ac:dyDescent="0.3">
      <c r="B2201" s="14"/>
      <c r="C2201" s="14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</row>
    <row r="2202" spans="2:14" x14ac:dyDescent="0.3">
      <c r="B2202" s="14"/>
      <c r="C2202" s="14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</row>
    <row r="2203" spans="2:14" x14ac:dyDescent="0.3">
      <c r="B2203" s="14"/>
      <c r="C2203" s="14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</row>
    <row r="2204" spans="2:14" x14ac:dyDescent="0.3">
      <c r="B2204" s="14"/>
      <c r="C2204" s="14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</row>
    <row r="2205" spans="2:14" x14ac:dyDescent="0.3">
      <c r="B2205" s="14"/>
      <c r="C2205" s="14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</row>
    <row r="2206" spans="2:14" x14ac:dyDescent="0.3">
      <c r="B2206" s="14"/>
      <c r="C2206" s="14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</row>
    <row r="2207" spans="2:14" x14ac:dyDescent="0.3">
      <c r="B2207" s="14"/>
      <c r="C2207" s="14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</row>
    <row r="2208" spans="2:14" x14ac:dyDescent="0.3">
      <c r="B2208" s="14"/>
      <c r="C2208" s="14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</row>
    <row r="2209" spans="2:14" x14ac:dyDescent="0.3">
      <c r="B2209" s="14"/>
      <c r="C2209" s="14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</row>
    <row r="2210" spans="2:14" x14ac:dyDescent="0.3">
      <c r="B2210" s="14"/>
      <c r="C2210" s="14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</row>
    <row r="2211" spans="2:14" x14ac:dyDescent="0.3">
      <c r="B2211" s="14"/>
      <c r="C2211" s="14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</row>
    <row r="2212" spans="2:14" x14ac:dyDescent="0.3">
      <c r="B2212" s="14"/>
      <c r="C2212" s="14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</row>
    <row r="2213" spans="2:14" x14ac:dyDescent="0.3">
      <c r="B2213" s="14"/>
      <c r="C2213" s="14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</row>
    <row r="2214" spans="2:14" x14ac:dyDescent="0.3">
      <c r="B2214" s="14"/>
      <c r="C2214" s="14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</row>
    <row r="2215" spans="2:14" x14ac:dyDescent="0.3">
      <c r="B2215" s="14"/>
      <c r="C2215" s="14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</row>
    <row r="2216" spans="2:14" x14ac:dyDescent="0.3">
      <c r="B2216" s="14"/>
      <c r="C2216" s="14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</row>
    <row r="2217" spans="2:14" x14ac:dyDescent="0.3">
      <c r="B2217" s="14"/>
      <c r="C2217" s="14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</row>
    <row r="2218" spans="2:14" x14ac:dyDescent="0.3">
      <c r="B2218" s="14"/>
      <c r="C2218" s="14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</row>
    <row r="2219" spans="2:14" x14ac:dyDescent="0.3">
      <c r="B2219" s="14"/>
      <c r="C2219" s="14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</row>
    <row r="2220" spans="2:14" x14ac:dyDescent="0.3">
      <c r="B2220" s="14"/>
      <c r="C2220" s="14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</row>
    <row r="2221" spans="2:14" x14ac:dyDescent="0.3">
      <c r="B2221" s="14"/>
      <c r="C2221" s="14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</row>
    <row r="2222" spans="2:14" x14ac:dyDescent="0.3">
      <c r="B2222" s="14"/>
      <c r="C2222" s="14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</row>
    <row r="2223" spans="2:14" x14ac:dyDescent="0.3">
      <c r="B2223" s="14"/>
      <c r="C2223" s="14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</row>
    <row r="2224" spans="2:14" x14ac:dyDescent="0.3">
      <c r="B2224" s="14"/>
      <c r="C2224" s="14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</row>
    <row r="2225" spans="2:14" x14ac:dyDescent="0.3">
      <c r="B2225" s="14"/>
      <c r="C2225" s="14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</row>
    <row r="2226" spans="2:14" x14ac:dyDescent="0.3">
      <c r="B2226" s="14"/>
      <c r="C2226" s="14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</row>
    <row r="2227" spans="2:14" x14ac:dyDescent="0.3">
      <c r="B2227" s="14"/>
      <c r="C2227" s="14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</row>
    <row r="2228" spans="2:14" x14ac:dyDescent="0.3">
      <c r="B2228" s="14"/>
      <c r="C2228" s="14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</row>
    <row r="2229" spans="2:14" x14ac:dyDescent="0.3">
      <c r="B2229" s="14"/>
      <c r="C2229" s="14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</row>
    <row r="2230" spans="2:14" x14ac:dyDescent="0.3">
      <c r="B2230" s="14"/>
      <c r="C2230" s="14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</row>
    <row r="2231" spans="2:14" x14ac:dyDescent="0.3">
      <c r="B2231" s="14"/>
      <c r="C2231" s="14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</row>
    <row r="2232" spans="2:14" x14ac:dyDescent="0.3">
      <c r="B2232" s="14"/>
      <c r="C2232" s="14"/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</row>
    <row r="2233" spans="2:14" x14ac:dyDescent="0.3">
      <c r="B2233" s="14"/>
      <c r="C2233" s="14"/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9"/>
    </row>
    <row r="2234" spans="2:14" x14ac:dyDescent="0.3">
      <c r="B2234" s="14"/>
      <c r="C2234" s="14"/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</row>
    <row r="2235" spans="2:14" x14ac:dyDescent="0.3">
      <c r="B2235" s="14"/>
      <c r="C2235" s="14"/>
      <c r="D2235" s="9"/>
      <c r="E2235" s="9"/>
      <c r="F2235" s="9"/>
      <c r="G2235" s="9"/>
      <c r="H2235" s="9"/>
      <c r="I2235" s="9"/>
      <c r="J2235" s="9"/>
      <c r="K2235" s="9"/>
      <c r="L2235" s="9"/>
      <c r="M2235" s="9"/>
      <c r="N2235" s="9"/>
    </row>
    <row r="2236" spans="2:14" x14ac:dyDescent="0.3">
      <c r="B2236" s="14"/>
      <c r="C2236" s="14"/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9"/>
    </row>
    <row r="2237" spans="2:14" x14ac:dyDescent="0.3">
      <c r="B2237" s="14"/>
      <c r="C2237" s="14"/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</row>
    <row r="2238" spans="2:14" x14ac:dyDescent="0.3">
      <c r="B2238" s="14"/>
      <c r="C2238" s="14"/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9"/>
    </row>
    <row r="2239" spans="2:14" x14ac:dyDescent="0.3">
      <c r="B2239" s="14"/>
      <c r="C2239" s="14"/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9"/>
    </row>
    <row r="2240" spans="2:14" x14ac:dyDescent="0.3">
      <c r="B2240" s="14"/>
      <c r="C2240" s="14"/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9"/>
    </row>
    <row r="2241" spans="2:14" x14ac:dyDescent="0.3">
      <c r="B2241" s="14"/>
      <c r="C2241" s="14"/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</row>
    <row r="2242" spans="2:14" x14ac:dyDescent="0.3">
      <c r="B2242" s="14"/>
      <c r="C2242" s="14"/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9"/>
    </row>
    <row r="2243" spans="2:14" x14ac:dyDescent="0.3">
      <c r="B2243" s="14"/>
      <c r="C2243" s="14"/>
      <c r="D2243" s="9"/>
      <c r="E2243" s="9"/>
      <c r="F2243" s="9"/>
      <c r="G2243" s="9"/>
      <c r="H2243" s="9"/>
      <c r="I2243" s="9"/>
      <c r="J2243" s="9"/>
      <c r="K2243" s="9"/>
      <c r="L2243" s="9"/>
      <c r="M2243" s="9"/>
      <c r="N2243" s="9"/>
    </row>
    <row r="2244" spans="2:14" x14ac:dyDescent="0.3">
      <c r="B2244" s="14"/>
      <c r="C2244" s="14"/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9"/>
    </row>
    <row r="2245" spans="2:14" x14ac:dyDescent="0.3">
      <c r="B2245" s="14"/>
      <c r="C2245" s="14"/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9"/>
    </row>
    <row r="2246" spans="2:14" x14ac:dyDescent="0.3">
      <c r="B2246" s="14"/>
      <c r="C2246" s="14"/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</row>
    <row r="2247" spans="2:14" x14ac:dyDescent="0.3">
      <c r="B2247" s="14"/>
      <c r="C2247" s="14"/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9"/>
    </row>
    <row r="2248" spans="2:14" x14ac:dyDescent="0.3">
      <c r="B2248" s="14"/>
      <c r="C2248" s="14"/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</row>
    <row r="2249" spans="2:14" x14ac:dyDescent="0.3">
      <c r="B2249" s="14"/>
      <c r="C2249" s="14"/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</row>
    <row r="2250" spans="2:14" x14ac:dyDescent="0.3">
      <c r="B2250" s="14"/>
      <c r="C2250" s="14"/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</row>
    <row r="2251" spans="2:14" x14ac:dyDescent="0.3">
      <c r="B2251" s="14"/>
      <c r="C2251" s="14"/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</row>
    <row r="2252" spans="2:14" x14ac:dyDescent="0.3">
      <c r="B2252" s="14"/>
      <c r="C2252" s="14"/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9"/>
    </row>
    <row r="2253" spans="2:14" x14ac:dyDescent="0.3">
      <c r="B2253" s="14"/>
      <c r="C2253" s="14"/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</row>
    <row r="2254" spans="2:14" x14ac:dyDescent="0.3">
      <c r="B2254" s="14"/>
      <c r="C2254" s="14"/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9"/>
    </row>
    <row r="2255" spans="2:14" x14ac:dyDescent="0.3">
      <c r="B2255" s="14"/>
      <c r="C2255" s="14"/>
      <c r="D2255" s="9"/>
      <c r="E2255" s="9"/>
      <c r="F2255" s="9"/>
      <c r="G2255" s="9"/>
      <c r="H2255" s="9"/>
      <c r="I2255" s="9"/>
      <c r="J2255" s="9"/>
      <c r="K2255" s="9"/>
      <c r="L2255" s="9"/>
      <c r="M2255" s="9"/>
      <c r="N2255" s="9"/>
    </row>
    <row r="2256" spans="2:14" x14ac:dyDescent="0.3">
      <c r="B2256" s="14"/>
      <c r="C2256" s="14"/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9"/>
    </row>
    <row r="2257" spans="2:14" x14ac:dyDescent="0.3">
      <c r="B2257" s="14"/>
      <c r="C2257" s="14"/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</row>
    <row r="2258" spans="2:14" x14ac:dyDescent="0.3">
      <c r="B2258" s="14"/>
      <c r="C2258" s="14"/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9"/>
    </row>
    <row r="2259" spans="2:14" x14ac:dyDescent="0.3">
      <c r="B2259" s="14"/>
      <c r="C2259" s="14"/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</row>
    <row r="2260" spans="2:14" x14ac:dyDescent="0.3">
      <c r="B2260" s="14"/>
      <c r="C2260" s="14"/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9"/>
    </row>
    <row r="2261" spans="2:14" x14ac:dyDescent="0.3">
      <c r="B2261" s="14"/>
      <c r="C2261" s="14"/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</row>
    <row r="2262" spans="2:14" x14ac:dyDescent="0.3">
      <c r="B2262" s="14"/>
      <c r="C2262" s="14"/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9"/>
    </row>
    <row r="2263" spans="2:14" x14ac:dyDescent="0.3">
      <c r="B2263" s="14"/>
      <c r="C2263" s="14"/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9"/>
    </row>
    <row r="2264" spans="2:14" x14ac:dyDescent="0.3">
      <c r="B2264" s="14"/>
      <c r="C2264" s="14"/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</row>
    <row r="2265" spans="2:14" x14ac:dyDescent="0.3">
      <c r="B2265" s="14"/>
      <c r="C2265" s="14"/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</row>
    <row r="2266" spans="2:14" x14ac:dyDescent="0.3">
      <c r="B2266" s="14"/>
      <c r="C2266" s="14"/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</row>
    <row r="2267" spans="2:14" x14ac:dyDescent="0.3">
      <c r="B2267" s="14"/>
      <c r="C2267" s="14"/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9"/>
    </row>
    <row r="2268" spans="2:14" x14ac:dyDescent="0.3">
      <c r="B2268" s="14"/>
      <c r="C2268" s="14"/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9"/>
    </row>
    <row r="2269" spans="2:14" x14ac:dyDescent="0.3">
      <c r="B2269" s="14"/>
      <c r="C2269" s="14"/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</row>
    <row r="2270" spans="2:14" x14ac:dyDescent="0.3">
      <c r="B2270" s="14"/>
      <c r="C2270" s="14"/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</row>
    <row r="2271" spans="2:14" x14ac:dyDescent="0.3">
      <c r="B2271" s="14"/>
      <c r="C2271" s="14"/>
      <c r="D2271" s="9"/>
      <c r="E2271" s="9"/>
      <c r="F2271" s="9"/>
      <c r="G2271" s="9"/>
      <c r="H2271" s="9"/>
      <c r="I2271" s="9"/>
      <c r="J2271" s="9"/>
      <c r="K2271" s="9"/>
      <c r="L2271" s="9"/>
      <c r="M2271" s="9"/>
      <c r="N2271" s="9"/>
    </row>
    <row r="2272" spans="2:14" x14ac:dyDescent="0.3">
      <c r="B2272" s="14"/>
      <c r="C2272" s="14"/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9"/>
    </row>
    <row r="2273" spans="2:14" x14ac:dyDescent="0.3">
      <c r="B2273" s="14"/>
      <c r="C2273" s="14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</row>
    <row r="2274" spans="2:14" x14ac:dyDescent="0.3">
      <c r="B2274" s="14"/>
      <c r="C2274" s="14"/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</row>
    <row r="2275" spans="2:14" x14ac:dyDescent="0.3">
      <c r="B2275" s="14"/>
      <c r="C2275" s="14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</row>
    <row r="2276" spans="2:14" x14ac:dyDescent="0.3">
      <c r="B2276" s="14"/>
      <c r="C2276" s="14"/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</row>
    <row r="2277" spans="2:14" x14ac:dyDescent="0.3">
      <c r="B2277" s="14"/>
      <c r="C2277" s="14"/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9"/>
    </row>
    <row r="2278" spans="2:14" x14ac:dyDescent="0.3">
      <c r="B2278" s="14"/>
      <c r="C2278" s="14"/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</row>
    <row r="2279" spans="2:14" x14ac:dyDescent="0.3">
      <c r="B2279" s="14"/>
      <c r="C2279" s="14"/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9"/>
    </row>
    <row r="2280" spans="2:14" x14ac:dyDescent="0.3">
      <c r="B2280" s="14"/>
      <c r="C2280" s="14"/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9"/>
    </row>
    <row r="2281" spans="2:14" x14ac:dyDescent="0.3">
      <c r="B2281" s="14"/>
      <c r="C2281" s="14"/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9"/>
    </row>
    <row r="2282" spans="2:14" x14ac:dyDescent="0.3">
      <c r="B2282" s="14"/>
      <c r="C2282" s="14"/>
      <c r="D2282" s="9"/>
      <c r="E2282" s="9"/>
      <c r="F2282" s="9"/>
      <c r="G2282" s="9"/>
      <c r="H2282" s="9"/>
      <c r="I2282" s="9"/>
      <c r="J2282" s="9"/>
      <c r="K2282" s="9"/>
      <c r="L2282" s="9"/>
      <c r="M2282" s="9"/>
      <c r="N2282" s="9"/>
    </row>
    <row r="2283" spans="2:14" x14ac:dyDescent="0.3">
      <c r="B2283" s="14"/>
      <c r="C2283" s="14"/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9"/>
    </row>
    <row r="2284" spans="2:14" x14ac:dyDescent="0.3">
      <c r="B2284" s="14"/>
      <c r="C2284" s="14"/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9"/>
    </row>
    <row r="2285" spans="2:14" x14ac:dyDescent="0.3">
      <c r="B2285" s="14"/>
      <c r="C2285" s="14"/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9"/>
    </row>
    <row r="2286" spans="2:14" x14ac:dyDescent="0.3">
      <c r="B2286" s="14"/>
      <c r="C2286" s="14"/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</row>
    <row r="2287" spans="2:14" x14ac:dyDescent="0.3">
      <c r="B2287" s="14"/>
      <c r="C2287" s="14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</row>
    <row r="2288" spans="2:14" x14ac:dyDescent="0.3">
      <c r="B2288" s="14"/>
      <c r="C2288" s="14"/>
      <c r="D2288" s="9"/>
      <c r="E2288" s="9"/>
      <c r="F2288" s="9"/>
      <c r="G2288" s="9"/>
      <c r="H2288" s="9"/>
      <c r="I2288" s="9"/>
      <c r="J2288" s="9"/>
      <c r="K2288" s="9"/>
      <c r="L2288" s="9"/>
      <c r="M2288" s="9"/>
      <c r="N2288" s="9"/>
    </row>
    <row r="2289" spans="2:14" x14ac:dyDescent="0.3">
      <c r="B2289" s="14"/>
      <c r="C2289" s="14"/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</row>
    <row r="2290" spans="2:14" x14ac:dyDescent="0.3">
      <c r="B2290" s="14"/>
      <c r="C2290" s="14"/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9"/>
    </row>
    <row r="2291" spans="2:14" x14ac:dyDescent="0.3">
      <c r="B2291" s="14"/>
      <c r="C2291" s="14"/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</row>
    <row r="2292" spans="2:14" x14ac:dyDescent="0.3">
      <c r="B2292" s="14"/>
      <c r="C2292" s="14"/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</row>
    <row r="2293" spans="2:14" x14ac:dyDescent="0.3">
      <c r="B2293" s="14"/>
      <c r="C2293" s="14"/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9"/>
    </row>
    <row r="2294" spans="2:14" x14ac:dyDescent="0.3">
      <c r="B2294" s="14"/>
      <c r="C2294" s="14"/>
      <c r="D2294" s="9"/>
      <c r="E2294" s="9"/>
      <c r="F2294" s="9"/>
      <c r="G2294" s="9"/>
      <c r="H2294" s="9"/>
      <c r="I2294" s="9"/>
      <c r="J2294" s="9"/>
      <c r="K2294" s="9"/>
      <c r="L2294" s="9"/>
      <c r="M2294" s="9"/>
      <c r="N2294" s="9"/>
    </row>
    <row r="2295" spans="2:14" x14ac:dyDescent="0.3">
      <c r="B2295" s="14"/>
      <c r="C2295" s="14"/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</row>
    <row r="2296" spans="2:14" x14ac:dyDescent="0.3">
      <c r="B2296" s="14"/>
      <c r="C2296" s="14"/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9"/>
    </row>
    <row r="2297" spans="2:14" x14ac:dyDescent="0.3">
      <c r="B2297" s="14"/>
      <c r="C2297" s="14"/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9"/>
    </row>
    <row r="2298" spans="2:14" x14ac:dyDescent="0.3">
      <c r="B2298" s="14"/>
      <c r="C2298" s="14"/>
      <c r="D2298" s="9"/>
      <c r="E2298" s="9"/>
      <c r="F2298" s="9"/>
      <c r="G2298" s="9"/>
      <c r="H2298" s="9"/>
      <c r="I2298" s="9"/>
      <c r="J2298" s="9"/>
      <c r="K2298" s="9"/>
      <c r="L2298" s="9"/>
      <c r="M2298" s="9"/>
      <c r="N2298" s="9"/>
    </row>
    <row r="2299" spans="2:14" x14ac:dyDescent="0.3">
      <c r="B2299" s="14"/>
      <c r="C2299" s="14"/>
      <c r="D2299" s="9"/>
      <c r="E2299" s="9"/>
      <c r="F2299" s="9"/>
      <c r="G2299" s="9"/>
      <c r="H2299" s="9"/>
      <c r="I2299" s="9"/>
      <c r="J2299" s="9"/>
      <c r="K2299" s="9"/>
      <c r="L2299" s="9"/>
      <c r="M2299" s="9"/>
      <c r="N2299" s="9"/>
    </row>
    <row r="2300" spans="2:14" x14ac:dyDescent="0.3">
      <c r="B2300" s="14"/>
      <c r="C2300" s="14"/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9"/>
    </row>
    <row r="2301" spans="2:14" x14ac:dyDescent="0.3">
      <c r="B2301" s="14"/>
      <c r="C2301" s="14"/>
      <c r="D2301" s="9"/>
      <c r="E2301" s="9"/>
      <c r="F2301" s="9"/>
      <c r="G2301" s="9"/>
      <c r="H2301" s="9"/>
      <c r="I2301" s="9"/>
      <c r="J2301" s="9"/>
      <c r="K2301" s="9"/>
      <c r="L2301" s="9"/>
      <c r="M2301" s="9"/>
      <c r="N2301" s="9"/>
    </row>
    <row r="2302" spans="2:14" x14ac:dyDescent="0.3">
      <c r="B2302" s="14"/>
      <c r="C2302" s="14"/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</row>
    <row r="2303" spans="2:14" x14ac:dyDescent="0.3">
      <c r="B2303" s="14"/>
      <c r="C2303" s="14"/>
      <c r="D2303" s="9"/>
      <c r="E2303" s="9"/>
      <c r="F2303" s="9"/>
      <c r="G2303" s="9"/>
      <c r="H2303" s="9"/>
      <c r="I2303" s="9"/>
      <c r="J2303" s="9"/>
      <c r="K2303" s="9"/>
      <c r="L2303" s="9"/>
      <c r="M2303" s="9"/>
      <c r="N2303" s="9"/>
    </row>
    <row r="2304" spans="2:14" x14ac:dyDescent="0.3">
      <c r="B2304" s="14"/>
      <c r="C2304" s="14"/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</row>
    <row r="2305" spans="2:14" x14ac:dyDescent="0.3">
      <c r="B2305" s="14"/>
      <c r="C2305" s="14"/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</row>
    <row r="2306" spans="2:14" x14ac:dyDescent="0.3">
      <c r="B2306" s="14"/>
      <c r="C2306" s="14"/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9"/>
    </row>
    <row r="2307" spans="2:14" x14ac:dyDescent="0.3">
      <c r="B2307" s="14"/>
      <c r="C2307" s="14"/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</row>
    <row r="2308" spans="2:14" x14ac:dyDescent="0.3">
      <c r="B2308" s="14"/>
      <c r="C2308" s="14"/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9"/>
    </row>
    <row r="2309" spans="2:14" x14ac:dyDescent="0.3">
      <c r="B2309" s="14"/>
      <c r="C2309" s="14"/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9"/>
    </row>
    <row r="2310" spans="2:14" x14ac:dyDescent="0.3">
      <c r="B2310" s="14"/>
      <c r="C2310" s="14"/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</row>
    <row r="2311" spans="2:14" x14ac:dyDescent="0.3">
      <c r="B2311" s="14"/>
      <c r="C2311" s="14"/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9"/>
    </row>
    <row r="2312" spans="2:14" x14ac:dyDescent="0.3">
      <c r="B2312" s="14"/>
      <c r="C2312" s="14"/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9"/>
    </row>
    <row r="2313" spans="2:14" x14ac:dyDescent="0.3">
      <c r="B2313" s="14"/>
      <c r="C2313" s="14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</row>
    <row r="2314" spans="2:14" x14ac:dyDescent="0.3">
      <c r="B2314" s="14"/>
      <c r="C2314" s="14"/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9"/>
    </row>
    <row r="2315" spans="2:14" x14ac:dyDescent="0.3">
      <c r="B2315" s="14"/>
      <c r="C2315" s="14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</row>
    <row r="2316" spans="2:14" x14ac:dyDescent="0.3">
      <c r="B2316" s="14"/>
      <c r="C2316" s="14"/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9"/>
    </row>
    <row r="2317" spans="2:14" x14ac:dyDescent="0.3">
      <c r="B2317" s="14"/>
      <c r="C2317" s="14"/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9"/>
    </row>
    <row r="2318" spans="2:14" x14ac:dyDescent="0.3">
      <c r="B2318" s="14"/>
      <c r="C2318" s="14"/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</row>
    <row r="2319" spans="2:14" x14ac:dyDescent="0.3">
      <c r="B2319" s="14"/>
      <c r="C2319" s="14"/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</row>
    <row r="2320" spans="2:14" x14ac:dyDescent="0.3">
      <c r="B2320" s="14"/>
      <c r="C2320" s="14"/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9"/>
    </row>
    <row r="2321" spans="2:14" x14ac:dyDescent="0.3">
      <c r="B2321" s="14"/>
      <c r="C2321" s="14"/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</row>
    <row r="2322" spans="2:14" x14ac:dyDescent="0.3">
      <c r="B2322" s="14"/>
      <c r="C2322" s="14"/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</row>
    <row r="2323" spans="2:14" x14ac:dyDescent="0.3">
      <c r="B2323" s="14"/>
      <c r="C2323" s="14"/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9"/>
    </row>
    <row r="2324" spans="2:14" x14ac:dyDescent="0.3">
      <c r="B2324" s="14"/>
      <c r="C2324" s="14"/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9"/>
    </row>
    <row r="2325" spans="2:14" x14ac:dyDescent="0.3">
      <c r="B2325" s="14"/>
      <c r="C2325" s="14"/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9"/>
    </row>
    <row r="2326" spans="2:14" x14ac:dyDescent="0.3">
      <c r="B2326" s="14"/>
      <c r="C2326" s="14"/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</row>
    <row r="2327" spans="2:14" x14ac:dyDescent="0.3">
      <c r="B2327" s="14"/>
      <c r="C2327" s="14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</row>
    <row r="2328" spans="2:14" x14ac:dyDescent="0.3">
      <c r="B2328" s="14"/>
      <c r="C2328" s="14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</row>
    <row r="2329" spans="2:14" x14ac:dyDescent="0.3">
      <c r="B2329" s="14"/>
      <c r="C2329" s="14"/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9"/>
    </row>
    <row r="2330" spans="2:14" x14ac:dyDescent="0.3">
      <c r="B2330" s="14"/>
      <c r="C2330" s="14"/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9"/>
    </row>
    <row r="2331" spans="2:14" x14ac:dyDescent="0.3">
      <c r="B2331" s="14"/>
      <c r="C2331" s="14"/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9"/>
    </row>
    <row r="2332" spans="2:14" x14ac:dyDescent="0.3">
      <c r="B2332" s="14"/>
      <c r="C2332" s="14"/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</row>
    <row r="2333" spans="2:14" x14ac:dyDescent="0.3">
      <c r="B2333" s="14"/>
      <c r="C2333" s="14"/>
      <c r="D2333" s="9"/>
      <c r="E2333" s="9"/>
      <c r="F2333" s="9"/>
      <c r="G2333" s="9"/>
      <c r="H2333" s="9"/>
      <c r="I2333" s="9"/>
      <c r="J2333" s="9"/>
      <c r="K2333" s="9"/>
      <c r="L2333" s="9"/>
      <c r="M2333" s="9"/>
      <c r="N2333" s="9"/>
    </row>
    <row r="2334" spans="2:14" x14ac:dyDescent="0.3">
      <c r="B2334" s="14"/>
      <c r="C2334" s="14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</row>
    <row r="2335" spans="2:14" x14ac:dyDescent="0.3">
      <c r="B2335" s="14"/>
      <c r="C2335" s="14"/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</row>
    <row r="2336" spans="2:14" x14ac:dyDescent="0.3">
      <c r="B2336" s="14"/>
      <c r="C2336" s="14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</row>
    <row r="2337" spans="2:14" x14ac:dyDescent="0.3">
      <c r="B2337" s="14"/>
      <c r="C2337" s="14"/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</row>
    <row r="2338" spans="2:14" x14ac:dyDescent="0.3">
      <c r="B2338" s="14"/>
      <c r="C2338" s="14"/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</row>
    <row r="2339" spans="2:14" x14ac:dyDescent="0.3">
      <c r="B2339" s="14"/>
      <c r="C2339" s="14"/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9"/>
    </row>
    <row r="2340" spans="2:14" x14ac:dyDescent="0.3">
      <c r="B2340" s="14"/>
      <c r="C2340" s="14"/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9"/>
    </row>
    <row r="2341" spans="2:14" x14ac:dyDescent="0.3">
      <c r="B2341" s="14"/>
      <c r="C2341" s="14"/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9"/>
    </row>
    <row r="2342" spans="2:14" x14ac:dyDescent="0.3">
      <c r="B2342" s="14"/>
      <c r="C2342" s="14"/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</row>
    <row r="2343" spans="2:14" x14ac:dyDescent="0.3">
      <c r="B2343" s="14"/>
      <c r="C2343" s="14"/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9"/>
    </row>
    <row r="2344" spans="2:14" x14ac:dyDescent="0.3">
      <c r="B2344" s="14"/>
      <c r="C2344" s="14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</row>
    <row r="2345" spans="2:14" x14ac:dyDescent="0.3">
      <c r="B2345" s="14"/>
      <c r="C2345" s="14"/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</row>
    <row r="2346" spans="2:14" x14ac:dyDescent="0.3">
      <c r="B2346" s="14"/>
      <c r="C2346" s="14"/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</row>
    <row r="2347" spans="2:14" x14ac:dyDescent="0.3">
      <c r="B2347" s="14"/>
      <c r="C2347" s="14"/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9"/>
    </row>
    <row r="2348" spans="2:14" x14ac:dyDescent="0.3">
      <c r="B2348" s="14"/>
      <c r="C2348" s="14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</row>
    <row r="2349" spans="2:14" x14ac:dyDescent="0.3">
      <c r="B2349" s="14"/>
      <c r="C2349" s="14"/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9"/>
    </row>
    <row r="2350" spans="2:14" x14ac:dyDescent="0.3">
      <c r="B2350" s="14"/>
      <c r="C2350" s="14"/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</row>
    <row r="2351" spans="2:14" x14ac:dyDescent="0.3">
      <c r="B2351" s="14"/>
      <c r="C2351" s="14"/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</row>
    <row r="2352" spans="2:14" x14ac:dyDescent="0.3">
      <c r="B2352" s="14"/>
      <c r="C2352" s="14"/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9"/>
    </row>
    <row r="2353" spans="2:14" x14ac:dyDescent="0.3">
      <c r="B2353" s="14"/>
      <c r="C2353" s="14"/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9"/>
    </row>
    <row r="2354" spans="2:14" x14ac:dyDescent="0.3">
      <c r="B2354" s="14"/>
      <c r="C2354" s="14"/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</row>
    <row r="2355" spans="2:14" x14ac:dyDescent="0.3">
      <c r="B2355" s="14"/>
      <c r="C2355" s="14"/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9"/>
    </row>
    <row r="2356" spans="2:14" x14ac:dyDescent="0.3">
      <c r="B2356" s="14"/>
      <c r="C2356" s="14"/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</row>
    <row r="2357" spans="2:14" x14ac:dyDescent="0.3">
      <c r="B2357" s="14"/>
      <c r="C2357" s="14"/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</row>
    <row r="2358" spans="2:14" x14ac:dyDescent="0.3">
      <c r="B2358" s="14"/>
      <c r="C2358" s="14"/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</row>
    <row r="2359" spans="2:14" x14ac:dyDescent="0.3">
      <c r="B2359" s="14"/>
      <c r="C2359" s="14"/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</row>
    <row r="2360" spans="2:14" x14ac:dyDescent="0.3">
      <c r="B2360" s="14"/>
      <c r="C2360" s="14"/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9"/>
    </row>
    <row r="2361" spans="2:14" x14ac:dyDescent="0.3">
      <c r="B2361" s="14"/>
      <c r="C2361" s="14"/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</row>
    <row r="2362" spans="2:14" x14ac:dyDescent="0.3">
      <c r="B2362" s="14"/>
      <c r="C2362" s="14"/>
      <c r="D2362" s="9"/>
      <c r="E2362" s="9"/>
      <c r="F2362" s="9"/>
      <c r="G2362" s="9"/>
      <c r="H2362" s="9"/>
      <c r="I2362" s="9"/>
      <c r="J2362" s="9"/>
      <c r="K2362" s="9"/>
      <c r="L2362" s="9"/>
      <c r="M2362" s="9"/>
      <c r="N2362" s="9"/>
    </row>
    <row r="2363" spans="2:14" x14ac:dyDescent="0.3">
      <c r="B2363" s="14"/>
      <c r="C2363" s="14"/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9"/>
    </row>
    <row r="2364" spans="2:14" x14ac:dyDescent="0.3">
      <c r="B2364" s="14"/>
      <c r="C2364" s="14"/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</row>
    <row r="2365" spans="2:14" x14ac:dyDescent="0.3">
      <c r="B2365" s="14"/>
      <c r="C2365" s="14"/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9"/>
    </row>
    <row r="2366" spans="2:14" x14ac:dyDescent="0.3">
      <c r="B2366" s="14"/>
      <c r="C2366" s="14"/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9"/>
    </row>
    <row r="2367" spans="2:14" x14ac:dyDescent="0.3">
      <c r="B2367" s="14"/>
      <c r="C2367" s="14"/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</row>
    <row r="2368" spans="2:14" x14ac:dyDescent="0.3">
      <c r="B2368" s="14"/>
      <c r="C2368" s="14"/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</row>
    <row r="2369" spans="2:14" x14ac:dyDescent="0.3">
      <c r="B2369" s="14"/>
      <c r="C2369" s="14"/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</row>
    <row r="2370" spans="2:14" x14ac:dyDescent="0.3">
      <c r="B2370" s="14"/>
      <c r="C2370" s="14"/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9"/>
    </row>
    <row r="2371" spans="2:14" x14ac:dyDescent="0.3">
      <c r="B2371" s="14"/>
      <c r="C2371" s="14"/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</row>
    <row r="2372" spans="2:14" x14ac:dyDescent="0.3">
      <c r="B2372" s="14"/>
      <c r="C2372" s="14"/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</row>
    <row r="2373" spans="2:14" x14ac:dyDescent="0.3">
      <c r="B2373" s="14"/>
      <c r="C2373" s="14"/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</row>
    <row r="2374" spans="2:14" x14ac:dyDescent="0.3">
      <c r="B2374" s="14"/>
      <c r="C2374" s="14"/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</row>
    <row r="2375" spans="2:14" x14ac:dyDescent="0.3">
      <c r="B2375" s="14"/>
      <c r="C2375" s="14"/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</row>
    <row r="2376" spans="2:14" x14ac:dyDescent="0.3">
      <c r="B2376" s="14"/>
      <c r="C2376" s="14"/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9"/>
    </row>
    <row r="2377" spans="2:14" x14ac:dyDescent="0.3">
      <c r="B2377" s="14"/>
      <c r="C2377" s="14"/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</row>
    <row r="2378" spans="2:14" x14ac:dyDescent="0.3">
      <c r="B2378" s="14"/>
      <c r="C2378" s="14"/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</row>
    <row r="2379" spans="2:14" x14ac:dyDescent="0.3">
      <c r="B2379" s="14"/>
      <c r="C2379" s="14"/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</row>
    <row r="2380" spans="2:14" x14ac:dyDescent="0.3">
      <c r="B2380" s="14"/>
      <c r="C2380" s="14"/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</row>
    <row r="2381" spans="2:14" x14ac:dyDescent="0.3">
      <c r="B2381" s="14"/>
      <c r="C2381" s="14"/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</row>
    <row r="2382" spans="2:14" x14ac:dyDescent="0.3">
      <c r="B2382" s="14"/>
      <c r="C2382" s="14"/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</row>
    <row r="2383" spans="2:14" x14ac:dyDescent="0.3">
      <c r="B2383" s="14"/>
      <c r="C2383" s="14"/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</row>
    <row r="2384" spans="2:14" x14ac:dyDescent="0.3">
      <c r="B2384" s="14"/>
      <c r="C2384" s="14"/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</row>
    <row r="2385" spans="2:14" x14ac:dyDescent="0.3">
      <c r="B2385" s="14"/>
      <c r="C2385" s="14"/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9"/>
    </row>
    <row r="2386" spans="2:14" x14ac:dyDescent="0.3">
      <c r="B2386" s="14"/>
      <c r="C2386" s="14"/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</row>
    <row r="2387" spans="2:14" x14ac:dyDescent="0.3">
      <c r="B2387" s="14"/>
      <c r="C2387" s="14"/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9"/>
    </row>
    <row r="2388" spans="2:14" x14ac:dyDescent="0.3">
      <c r="B2388" s="14"/>
      <c r="C2388" s="14"/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9"/>
    </row>
    <row r="2389" spans="2:14" x14ac:dyDescent="0.3">
      <c r="B2389" s="14"/>
      <c r="C2389" s="14"/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9"/>
    </row>
    <row r="2390" spans="2:14" x14ac:dyDescent="0.3">
      <c r="B2390" s="14"/>
      <c r="C2390" s="14"/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</row>
    <row r="2391" spans="2:14" x14ac:dyDescent="0.3">
      <c r="B2391" s="14"/>
      <c r="C2391" s="14"/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9"/>
    </row>
    <row r="2392" spans="2:14" x14ac:dyDescent="0.3">
      <c r="B2392" s="14"/>
      <c r="C2392" s="14"/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</row>
    <row r="2393" spans="2:14" x14ac:dyDescent="0.3">
      <c r="B2393" s="14"/>
      <c r="C2393" s="14"/>
      <c r="D2393" s="9"/>
      <c r="E2393" s="9"/>
      <c r="F2393" s="9"/>
      <c r="G2393" s="9"/>
      <c r="H2393" s="9"/>
      <c r="I2393" s="9"/>
      <c r="J2393" s="9"/>
      <c r="K2393" s="9"/>
      <c r="L2393" s="9"/>
      <c r="M2393" s="9"/>
      <c r="N2393" s="9"/>
    </row>
    <row r="2394" spans="2:14" x14ac:dyDescent="0.3">
      <c r="B2394" s="14"/>
      <c r="C2394" s="14"/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9"/>
    </row>
    <row r="2395" spans="2:14" x14ac:dyDescent="0.3">
      <c r="B2395" s="14"/>
      <c r="C2395" s="14"/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</row>
    <row r="2396" spans="2:14" x14ac:dyDescent="0.3">
      <c r="B2396" s="14"/>
      <c r="C2396" s="14"/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9"/>
    </row>
    <row r="2397" spans="2:14" x14ac:dyDescent="0.3">
      <c r="B2397" s="14"/>
      <c r="C2397" s="14"/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9"/>
    </row>
    <row r="2398" spans="2:14" x14ac:dyDescent="0.3">
      <c r="B2398" s="14"/>
      <c r="C2398" s="14"/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9"/>
    </row>
    <row r="2399" spans="2:14" x14ac:dyDescent="0.3">
      <c r="B2399" s="14"/>
      <c r="C2399" s="14"/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</row>
    <row r="2400" spans="2:14" x14ac:dyDescent="0.3">
      <c r="B2400" s="14"/>
      <c r="C2400" s="14"/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9"/>
    </row>
    <row r="2401" spans="2:14" x14ac:dyDescent="0.3">
      <c r="B2401" s="14"/>
      <c r="C2401" s="14"/>
      <c r="D2401" s="9"/>
      <c r="E2401" s="9"/>
      <c r="F2401" s="9"/>
      <c r="G2401" s="9"/>
      <c r="H2401" s="9"/>
      <c r="I2401" s="9"/>
      <c r="J2401" s="9"/>
      <c r="K2401" s="9"/>
      <c r="L2401" s="9"/>
      <c r="M2401" s="9"/>
      <c r="N2401" s="9"/>
    </row>
    <row r="2402" spans="2:14" x14ac:dyDescent="0.3">
      <c r="B2402" s="14"/>
      <c r="C2402" s="14"/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</row>
    <row r="2403" spans="2:14" x14ac:dyDescent="0.3">
      <c r="B2403" s="14"/>
      <c r="C2403" s="14"/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</row>
    <row r="2404" spans="2:14" x14ac:dyDescent="0.3">
      <c r="B2404" s="14"/>
      <c r="C2404" s="14"/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9"/>
    </row>
    <row r="2405" spans="2:14" x14ac:dyDescent="0.3">
      <c r="B2405" s="14"/>
      <c r="C2405" s="14"/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</row>
    <row r="2406" spans="2:14" x14ac:dyDescent="0.3">
      <c r="B2406" s="14"/>
      <c r="C2406" s="14"/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</row>
    <row r="2407" spans="2:14" x14ac:dyDescent="0.3">
      <c r="B2407" s="14"/>
      <c r="C2407" s="14"/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9"/>
    </row>
    <row r="2408" spans="2:14" x14ac:dyDescent="0.3">
      <c r="B2408" s="14"/>
      <c r="C2408" s="14"/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9"/>
    </row>
    <row r="2409" spans="2:14" x14ac:dyDescent="0.3">
      <c r="B2409" s="14"/>
      <c r="C2409" s="14"/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</row>
    <row r="2410" spans="2:14" x14ac:dyDescent="0.3">
      <c r="B2410" s="14"/>
      <c r="C2410" s="14"/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</row>
    <row r="2411" spans="2:14" x14ac:dyDescent="0.3">
      <c r="B2411" s="14"/>
      <c r="C2411" s="14"/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</row>
    <row r="2412" spans="2:14" x14ac:dyDescent="0.3">
      <c r="B2412" s="14"/>
      <c r="C2412" s="14"/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9"/>
    </row>
    <row r="2413" spans="2:14" x14ac:dyDescent="0.3">
      <c r="B2413" s="14"/>
      <c r="C2413" s="14"/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9"/>
    </row>
    <row r="2414" spans="2:14" x14ac:dyDescent="0.3">
      <c r="B2414" s="14"/>
      <c r="C2414" s="14"/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9"/>
    </row>
    <row r="2415" spans="2:14" x14ac:dyDescent="0.3">
      <c r="B2415" s="14"/>
      <c r="C2415" s="14"/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</row>
    <row r="2416" spans="2:14" x14ac:dyDescent="0.3">
      <c r="B2416" s="14"/>
      <c r="C2416" s="14"/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9"/>
    </row>
    <row r="2417" spans="2:14" x14ac:dyDescent="0.3">
      <c r="B2417" s="14"/>
      <c r="C2417" s="14"/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9"/>
    </row>
    <row r="2418" spans="2:14" x14ac:dyDescent="0.3">
      <c r="B2418" s="14"/>
      <c r="C2418" s="14"/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</row>
    <row r="2419" spans="2:14" x14ac:dyDescent="0.3">
      <c r="B2419" s="14"/>
      <c r="C2419" s="14"/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</row>
    <row r="2420" spans="2:14" x14ac:dyDescent="0.3">
      <c r="B2420" s="14"/>
      <c r="C2420" s="14"/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</row>
    <row r="2421" spans="2:14" x14ac:dyDescent="0.3">
      <c r="B2421" s="14"/>
      <c r="C2421" s="14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</row>
    <row r="2422" spans="2:14" x14ac:dyDescent="0.3">
      <c r="B2422" s="14"/>
      <c r="C2422" s="14"/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9"/>
    </row>
    <row r="2423" spans="2:14" x14ac:dyDescent="0.3">
      <c r="B2423" s="14"/>
      <c r="C2423" s="14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</row>
    <row r="2424" spans="2:14" x14ac:dyDescent="0.3">
      <c r="B2424" s="14"/>
      <c r="C2424" s="14"/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</row>
    <row r="2425" spans="2:14" x14ac:dyDescent="0.3">
      <c r="B2425" s="14"/>
      <c r="C2425" s="14"/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9"/>
    </row>
    <row r="2426" spans="2:14" x14ac:dyDescent="0.3">
      <c r="B2426" s="14"/>
      <c r="C2426" s="14"/>
      <c r="D2426" s="9"/>
      <c r="E2426" s="9"/>
      <c r="F2426" s="9"/>
      <c r="G2426" s="9"/>
      <c r="H2426" s="9"/>
      <c r="I2426" s="9"/>
      <c r="J2426" s="9"/>
      <c r="K2426" s="9"/>
      <c r="L2426" s="9"/>
      <c r="M2426" s="9"/>
      <c r="N2426" s="9"/>
    </row>
    <row r="2427" spans="2:14" x14ac:dyDescent="0.3">
      <c r="B2427" s="14"/>
      <c r="C2427" s="14"/>
      <c r="D2427" s="9"/>
      <c r="E2427" s="9"/>
      <c r="F2427" s="9"/>
      <c r="G2427" s="9"/>
      <c r="H2427" s="9"/>
      <c r="I2427" s="9"/>
      <c r="J2427" s="9"/>
      <c r="K2427" s="9"/>
      <c r="L2427" s="9"/>
      <c r="M2427" s="9"/>
      <c r="N2427" s="9"/>
    </row>
    <row r="2428" spans="2:14" x14ac:dyDescent="0.3">
      <c r="B2428" s="14"/>
      <c r="C2428" s="14"/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9"/>
    </row>
    <row r="2429" spans="2:14" x14ac:dyDescent="0.3">
      <c r="B2429" s="14"/>
      <c r="C2429" s="14"/>
      <c r="D2429" s="9"/>
      <c r="E2429" s="9"/>
      <c r="F2429" s="9"/>
      <c r="G2429" s="9"/>
      <c r="H2429" s="9"/>
      <c r="I2429" s="9"/>
      <c r="J2429" s="9"/>
      <c r="K2429" s="9"/>
      <c r="L2429" s="9"/>
      <c r="M2429" s="9"/>
      <c r="N2429" s="9"/>
    </row>
    <row r="2430" spans="2:14" x14ac:dyDescent="0.3">
      <c r="B2430" s="14"/>
      <c r="C2430" s="14"/>
      <c r="D2430" s="9"/>
      <c r="E2430" s="9"/>
      <c r="F2430" s="9"/>
      <c r="G2430" s="9"/>
      <c r="H2430" s="9"/>
      <c r="I2430" s="9"/>
      <c r="J2430" s="9"/>
      <c r="K2430" s="9"/>
      <c r="L2430" s="9"/>
      <c r="M2430" s="9"/>
      <c r="N2430" s="9"/>
    </row>
    <row r="2431" spans="2:14" x14ac:dyDescent="0.3">
      <c r="B2431" s="14"/>
      <c r="C2431" s="14"/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</row>
    <row r="2432" spans="2:14" x14ac:dyDescent="0.3">
      <c r="B2432" s="14"/>
      <c r="C2432" s="14"/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9"/>
    </row>
    <row r="2433" spans="2:14" x14ac:dyDescent="0.3">
      <c r="B2433" s="14"/>
      <c r="C2433" s="14"/>
      <c r="D2433" s="9"/>
      <c r="E2433" s="9"/>
      <c r="F2433" s="9"/>
      <c r="G2433" s="9"/>
      <c r="H2433" s="9"/>
      <c r="I2433" s="9"/>
      <c r="J2433" s="9"/>
      <c r="K2433" s="9"/>
      <c r="L2433" s="9"/>
      <c r="M2433" s="9"/>
      <c r="N2433" s="9"/>
    </row>
    <row r="2434" spans="2:14" x14ac:dyDescent="0.3">
      <c r="B2434" s="14"/>
      <c r="C2434" s="14"/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</row>
    <row r="2435" spans="2:14" x14ac:dyDescent="0.3">
      <c r="B2435" s="14"/>
      <c r="C2435" s="14"/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9"/>
    </row>
    <row r="2436" spans="2:14" x14ac:dyDescent="0.3">
      <c r="B2436" s="14"/>
      <c r="C2436" s="14"/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</row>
    <row r="2437" spans="2:14" x14ac:dyDescent="0.3">
      <c r="B2437" s="14"/>
      <c r="C2437" s="14"/>
      <c r="D2437" s="9"/>
      <c r="E2437" s="9"/>
      <c r="F2437" s="9"/>
      <c r="G2437" s="9"/>
      <c r="H2437" s="9"/>
      <c r="I2437" s="9"/>
      <c r="J2437" s="9"/>
      <c r="K2437" s="9"/>
      <c r="L2437" s="9"/>
      <c r="M2437" s="9"/>
      <c r="N2437" s="9"/>
    </row>
    <row r="2438" spans="2:14" x14ac:dyDescent="0.3">
      <c r="B2438" s="14"/>
      <c r="C2438" s="14"/>
      <c r="D2438" s="9"/>
      <c r="E2438" s="9"/>
      <c r="F2438" s="9"/>
      <c r="G2438" s="9"/>
      <c r="H2438" s="9"/>
      <c r="I2438" s="9"/>
      <c r="J2438" s="9"/>
      <c r="K2438" s="9"/>
      <c r="L2438" s="9"/>
      <c r="M2438" s="9"/>
      <c r="N2438" s="9"/>
    </row>
    <row r="2439" spans="2:14" x14ac:dyDescent="0.3">
      <c r="B2439" s="14"/>
      <c r="C2439" s="14"/>
      <c r="D2439" s="9"/>
      <c r="E2439" s="9"/>
      <c r="F2439" s="9"/>
      <c r="G2439" s="9"/>
      <c r="H2439" s="9"/>
      <c r="I2439" s="9"/>
      <c r="J2439" s="9"/>
      <c r="K2439" s="9"/>
      <c r="L2439" s="9"/>
      <c r="M2439" s="9"/>
      <c r="N2439" s="9"/>
    </row>
    <row r="2440" spans="2:14" x14ac:dyDescent="0.3">
      <c r="B2440" s="14"/>
      <c r="C2440" s="14"/>
      <c r="D2440" s="9"/>
      <c r="E2440" s="9"/>
      <c r="F2440" s="9"/>
      <c r="G2440" s="9"/>
      <c r="H2440" s="9"/>
      <c r="I2440" s="9"/>
      <c r="J2440" s="9"/>
      <c r="K2440" s="9"/>
      <c r="L2440" s="9"/>
      <c r="M2440" s="9"/>
      <c r="N2440" s="9"/>
    </row>
    <row r="2441" spans="2:14" x14ac:dyDescent="0.3">
      <c r="B2441" s="14"/>
      <c r="C2441" s="14"/>
      <c r="D2441" s="9"/>
      <c r="E2441" s="9"/>
      <c r="F2441" s="9"/>
      <c r="G2441" s="9"/>
      <c r="H2441" s="9"/>
      <c r="I2441" s="9"/>
      <c r="J2441" s="9"/>
      <c r="K2441" s="9"/>
      <c r="L2441" s="9"/>
      <c r="M2441" s="9"/>
      <c r="N2441" s="9"/>
    </row>
    <row r="2442" spans="2:14" x14ac:dyDescent="0.3">
      <c r="B2442" s="14"/>
      <c r="C2442" s="14"/>
      <c r="D2442" s="9"/>
      <c r="E2442" s="9"/>
      <c r="F2442" s="9"/>
      <c r="G2442" s="9"/>
      <c r="H2442" s="9"/>
      <c r="I2442" s="9"/>
      <c r="J2442" s="9"/>
      <c r="K2442" s="9"/>
      <c r="L2442" s="9"/>
      <c r="M2442" s="9"/>
      <c r="N2442" s="9"/>
    </row>
    <row r="2443" spans="2:14" x14ac:dyDescent="0.3">
      <c r="B2443" s="14"/>
      <c r="C2443" s="14"/>
      <c r="D2443" s="9"/>
      <c r="E2443" s="9"/>
      <c r="F2443" s="9"/>
      <c r="G2443" s="9"/>
      <c r="H2443" s="9"/>
      <c r="I2443" s="9"/>
      <c r="J2443" s="9"/>
      <c r="K2443" s="9"/>
      <c r="L2443" s="9"/>
      <c r="M2443" s="9"/>
      <c r="N2443" s="9"/>
    </row>
    <row r="2444" spans="2:14" x14ac:dyDescent="0.3">
      <c r="B2444" s="14"/>
      <c r="C2444" s="14"/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9"/>
    </row>
    <row r="2445" spans="2:14" x14ac:dyDescent="0.3">
      <c r="B2445" s="14"/>
      <c r="C2445" s="14"/>
      <c r="D2445" s="9"/>
      <c r="E2445" s="9"/>
      <c r="F2445" s="9"/>
      <c r="G2445" s="9"/>
      <c r="H2445" s="9"/>
      <c r="I2445" s="9"/>
      <c r="J2445" s="9"/>
      <c r="K2445" s="9"/>
      <c r="L2445" s="9"/>
      <c r="M2445" s="9"/>
      <c r="N2445" s="9"/>
    </row>
    <row r="2446" spans="2:14" x14ac:dyDescent="0.3">
      <c r="B2446" s="14"/>
      <c r="C2446" s="14"/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9"/>
    </row>
    <row r="2447" spans="2:14" x14ac:dyDescent="0.3">
      <c r="B2447" s="14"/>
      <c r="C2447" s="14"/>
      <c r="D2447" s="9"/>
      <c r="E2447" s="9"/>
      <c r="F2447" s="9"/>
      <c r="G2447" s="9"/>
      <c r="H2447" s="9"/>
      <c r="I2447" s="9"/>
      <c r="J2447" s="9"/>
      <c r="K2447" s="9"/>
      <c r="L2447" s="9"/>
      <c r="M2447" s="9"/>
      <c r="N2447" s="9"/>
    </row>
    <row r="2448" spans="2:14" x14ac:dyDescent="0.3">
      <c r="B2448" s="14"/>
      <c r="C2448" s="14"/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</row>
    <row r="2449" spans="2:14" x14ac:dyDescent="0.3">
      <c r="B2449" s="14"/>
      <c r="C2449" s="14"/>
      <c r="D2449" s="9"/>
      <c r="E2449" s="9"/>
      <c r="F2449" s="9"/>
      <c r="G2449" s="9"/>
      <c r="H2449" s="9"/>
      <c r="I2449" s="9"/>
      <c r="J2449" s="9"/>
      <c r="K2449" s="9"/>
      <c r="L2449" s="9"/>
      <c r="M2449" s="9"/>
      <c r="N2449" s="9"/>
    </row>
    <row r="2450" spans="2:14" x14ac:dyDescent="0.3">
      <c r="B2450" s="14"/>
      <c r="C2450" s="14"/>
      <c r="D2450" s="9"/>
      <c r="E2450" s="9"/>
      <c r="F2450" s="9"/>
      <c r="G2450" s="9"/>
      <c r="H2450" s="9"/>
      <c r="I2450" s="9"/>
      <c r="J2450" s="9"/>
      <c r="K2450" s="9"/>
      <c r="L2450" s="9"/>
      <c r="M2450" s="9"/>
      <c r="N2450" s="9"/>
    </row>
    <row r="2451" spans="2:14" x14ac:dyDescent="0.3">
      <c r="B2451" s="14"/>
      <c r="C2451" s="14"/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</row>
    <row r="2452" spans="2:14" x14ac:dyDescent="0.3">
      <c r="B2452" s="14"/>
      <c r="C2452" s="14"/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9"/>
    </row>
    <row r="2453" spans="2:14" x14ac:dyDescent="0.3">
      <c r="B2453" s="14"/>
      <c r="C2453" s="14"/>
      <c r="D2453" s="9"/>
      <c r="E2453" s="9"/>
      <c r="F2453" s="9"/>
      <c r="G2453" s="9"/>
      <c r="H2453" s="9"/>
      <c r="I2453" s="9"/>
      <c r="J2453" s="9"/>
      <c r="K2453" s="9"/>
      <c r="L2453" s="9"/>
      <c r="M2453" s="9"/>
      <c r="N2453" s="9"/>
    </row>
    <row r="2454" spans="2:14" x14ac:dyDescent="0.3">
      <c r="B2454" s="14"/>
      <c r="C2454" s="14"/>
      <c r="D2454" s="9"/>
      <c r="E2454" s="9"/>
      <c r="F2454" s="9"/>
      <c r="G2454" s="9"/>
      <c r="H2454" s="9"/>
      <c r="I2454" s="9"/>
      <c r="J2454" s="9"/>
      <c r="K2454" s="9"/>
      <c r="L2454" s="9"/>
      <c r="M2454" s="9"/>
      <c r="N2454" s="9"/>
    </row>
    <row r="2455" spans="2:14" x14ac:dyDescent="0.3">
      <c r="B2455" s="14"/>
      <c r="C2455" s="14"/>
      <c r="D2455" s="9"/>
      <c r="E2455" s="9"/>
      <c r="F2455" s="9"/>
      <c r="G2455" s="9"/>
      <c r="H2455" s="9"/>
      <c r="I2455" s="9"/>
      <c r="J2455" s="9"/>
      <c r="K2455" s="9"/>
      <c r="L2455" s="9"/>
      <c r="M2455" s="9"/>
      <c r="N2455" s="9"/>
    </row>
    <row r="2456" spans="2:14" x14ac:dyDescent="0.3">
      <c r="B2456" s="14"/>
      <c r="C2456" s="14"/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</row>
    <row r="2457" spans="2:14" x14ac:dyDescent="0.3">
      <c r="B2457" s="14"/>
      <c r="C2457" s="14"/>
      <c r="D2457" s="9"/>
      <c r="E2457" s="9"/>
      <c r="F2457" s="9"/>
      <c r="G2457" s="9"/>
      <c r="H2457" s="9"/>
      <c r="I2457" s="9"/>
      <c r="J2457" s="9"/>
      <c r="K2457" s="9"/>
      <c r="L2457" s="9"/>
      <c r="M2457" s="9"/>
      <c r="N2457" s="9"/>
    </row>
    <row r="2458" spans="2:14" x14ac:dyDescent="0.3">
      <c r="B2458" s="14"/>
      <c r="C2458" s="14"/>
      <c r="D2458" s="9"/>
      <c r="E2458" s="9"/>
      <c r="F2458" s="9"/>
      <c r="G2458" s="9"/>
      <c r="H2458" s="9"/>
      <c r="I2458" s="9"/>
      <c r="J2458" s="9"/>
      <c r="K2458" s="9"/>
      <c r="L2458" s="9"/>
      <c r="M2458" s="9"/>
      <c r="N2458" s="9"/>
    </row>
    <row r="2459" spans="2:14" x14ac:dyDescent="0.3">
      <c r="B2459" s="14"/>
      <c r="C2459" s="14"/>
      <c r="D2459" s="9"/>
      <c r="E2459" s="9"/>
      <c r="F2459" s="9"/>
      <c r="G2459" s="9"/>
      <c r="H2459" s="9"/>
      <c r="I2459" s="9"/>
      <c r="J2459" s="9"/>
      <c r="K2459" s="9"/>
      <c r="L2459" s="9"/>
      <c r="M2459" s="9"/>
      <c r="N2459" s="9"/>
    </row>
    <row r="2460" spans="2:14" x14ac:dyDescent="0.3">
      <c r="B2460" s="14"/>
      <c r="C2460" s="14"/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</row>
    <row r="2461" spans="2:14" x14ac:dyDescent="0.3">
      <c r="B2461" s="14"/>
      <c r="C2461" s="14"/>
      <c r="D2461" s="9"/>
      <c r="E2461" s="9"/>
      <c r="F2461" s="9"/>
      <c r="G2461" s="9"/>
      <c r="H2461" s="9"/>
      <c r="I2461" s="9"/>
      <c r="J2461" s="9"/>
      <c r="K2461" s="9"/>
      <c r="L2461" s="9"/>
      <c r="M2461" s="9"/>
      <c r="N2461" s="9"/>
    </row>
    <row r="2462" spans="2:14" x14ac:dyDescent="0.3">
      <c r="B2462" s="14"/>
      <c r="C2462" s="14"/>
      <c r="D2462" s="9"/>
      <c r="E2462" s="9"/>
      <c r="F2462" s="9"/>
      <c r="G2462" s="9"/>
      <c r="H2462" s="9"/>
      <c r="I2462" s="9"/>
      <c r="J2462" s="9"/>
      <c r="K2462" s="9"/>
      <c r="L2462" s="9"/>
      <c r="M2462" s="9"/>
      <c r="N2462" s="9"/>
    </row>
    <row r="2463" spans="2:14" x14ac:dyDescent="0.3">
      <c r="B2463" s="14"/>
      <c r="C2463" s="14"/>
      <c r="D2463" s="9"/>
      <c r="E2463" s="9"/>
      <c r="F2463" s="9"/>
      <c r="G2463" s="9"/>
      <c r="H2463" s="9"/>
      <c r="I2463" s="9"/>
      <c r="J2463" s="9"/>
      <c r="K2463" s="9"/>
      <c r="L2463" s="9"/>
      <c r="M2463" s="9"/>
      <c r="N2463" s="9"/>
    </row>
    <row r="2464" spans="2:14" x14ac:dyDescent="0.3">
      <c r="B2464" s="14"/>
      <c r="C2464" s="14"/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</row>
    <row r="2465" spans="2:14" x14ac:dyDescent="0.3">
      <c r="B2465" s="14"/>
      <c r="C2465" s="14"/>
      <c r="D2465" s="9"/>
      <c r="E2465" s="9"/>
      <c r="F2465" s="9"/>
      <c r="G2465" s="9"/>
      <c r="H2465" s="9"/>
      <c r="I2465" s="9"/>
      <c r="J2465" s="9"/>
      <c r="K2465" s="9"/>
      <c r="L2465" s="9"/>
      <c r="M2465" s="9"/>
      <c r="N2465" s="9"/>
    </row>
    <row r="2466" spans="2:14" x14ac:dyDescent="0.3">
      <c r="B2466" s="14"/>
      <c r="C2466" s="14"/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9"/>
    </row>
    <row r="2467" spans="2:14" x14ac:dyDescent="0.3">
      <c r="B2467" s="14"/>
      <c r="C2467" s="14"/>
      <c r="D2467" s="9"/>
      <c r="E2467" s="9"/>
      <c r="F2467" s="9"/>
      <c r="G2467" s="9"/>
      <c r="H2467" s="9"/>
      <c r="I2467" s="9"/>
      <c r="J2467" s="9"/>
      <c r="K2467" s="9"/>
      <c r="L2467" s="9"/>
      <c r="M2467" s="9"/>
      <c r="N2467" s="9"/>
    </row>
    <row r="2468" spans="2:14" x14ac:dyDescent="0.3">
      <c r="B2468" s="14"/>
      <c r="C2468" s="14"/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</row>
    <row r="2469" spans="2:14" x14ac:dyDescent="0.3">
      <c r="B2469" s="14"/>
      <c r="C2469" s="14"/>
      <c r="D2469" s="9"/>
      <c r="E2469" s="9"/>
      <c r="F2469" s="9"/>
      <c r="G2469" s="9"/>
      <c r="H2469" s="9"/>
      <c r="I2469" s="9"/>
      <c r="J2469" s="9"/>
      <c r="K2469" s="9"/>
      <c r="L2469" s="9"/>
      <c r="M2469" s="9"/>
      <c r="N2469" s="9"/>
    </row>
    <row r="2470" spans="2:14" x14ac:dyDescent="0.3">
      <c r="B2470" s="14"/>
      <c r="C2470" s="14"/>
      <c r="D2470" s="9"/>
      <c r="E2470" s="9"/>
      <c r="F2470" s="9"/>
      <c r="G2470" s="9"/>
      <c r="H2470" s="9"/>
      <c r="I2470" s="9"/>
      <c r="J2470" s="9"/>
      <c r="K2470" s="9"/>
      <c r="L2470" s="9"/>
      <c r="M2470" s="9"/>
      <c r="N2470" s="9"/>
    </row>
    <row r="2471" spans="2:14" x14ac:dyDescent="0.3">
      <c r="B2471" s="14"/>
      <c r="C2471" s="14"/>
      <c r="D2471" s="9"/>
      <c r="E2471" s="9"/>
      <c r="F2471" s="9"/>
      <c r="G2471" s="9"/>
      <c r="H2471" s="9"/>
      <c r="I2471" s="9"/>
      <c r="J2471" s="9"/>
      <c r="K2471" s="9"/>
      <c r="L2471" s="9"/>
      <c r="M2471" s="9"/>
      <c r="N2471" s="9"/>
    </row>
    <row r="2472" spans="2:14" x14ac:dyDescent="0.3">
      <c r="B2472" s="14"/>
      <c r="C2472" s="14"/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</row>
    <row r="2473" spans="2:14" x14ac:dyDescent="0.3">
      <c r="B2473" s="14"/>
      <c r="C2473" s="14"/>
      <c r="D2473" s="9"/>
      <c r="E2473" s="9"/>
      <c r="F2473" s="9"/>
      <c r="G2473" s="9"/>
      <c r="H2473" s="9"/>
      <c r="I2473" s="9"/>
      <c r="J2473" s="9"/>
      <c r="K2473" s="9"/>
      <c r="L2473" s="9"/>
      <c r="M2473" s="9"/>
      <c r="N2473" s="9"/>
    </row>
    <row r="2474" spans="2:14" x14ac:dyDescent="0.3">
      <c r="B2474" s="14"/>
      <c r="C2474" s="14"/>
      <c r="D2474" s="9"/>
      <c r="E2474" s="9"/>
      <c r="F2474" s="9"/>
      <c r="G2474" s="9"/>
      <c r="H2474" s="9"/>
      <c r="I2474" s="9"/>
      <c r="J2474" s="9"/>
      <c r="K2474" s="9"/>
      <c r="L2474" s="9"/>
      <c r="M2474" s="9"/>
      <c r="N2474" s="9"/>
    </row>
    <row r="2475" spans="2:14" x14ac:dyDescent="0.3">
      <c r="B2475" s="14"/>
      <c r="C2475" s="14"/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</row>
    <row r="2476" spans="2:14" x14ac:dyDescent="0.3">
      <c r="B2476" s="14"/>
      <c r="C2476" s="14"/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9"/>
    </row>
    <row r="2477" spans="2:14" x14ac:dyDescent="0.3">
      <c r="B2477" s="14"/>
      <c r="C2477" s="14"/>
      <c r="D2477" s="9"/>
      <c r="E2477" s="9"/>
      <c r="F2477" s="9"/>
      <c r="G2477" s="9"/>
      <c r="H2477" s="9"/>
      <c r="I2477" s="9"/>
      <c r="J2477" s="9"/>
      <c r="K2477" s="9"/>
      <c r="L2477" s="9"/>
      <c r="M2477" s="9"/>
      <c r="N2477" s="9"/>
    </row>
    <row r="2478" spans="2:14" x14ac:dyDescent="0.3">
      <c r="B2478" s="14"/>
      <c r="C2478" s="14"/>
      <c r="D2478" s="9"/>
      <c r="E2478" s="9"/>
      <c r="F2478" s="9"/>
      <c r="G2478" s="9"/>
      <c r="H2478" s="9"/>
      <c r="I2478" s="9"/>
      <c r="J2478" s="9"/>
      <c r="K2478" s="9"/>
      <c r="L2478" s="9"/>
      <c r="M2478" s="9"/>
      <c r="N2478" s="9"/>
    </row>
    <row r="2479" spans="2:14" x14ac:dyDescent="0.3">
      <c r="B2479" s="14"/>
      <c r="C2479" s="14"/>
      <c r="D2479" s="9"/>
      <c r="E2479" s="9"/>
      <c r="F2479" s="9"/>
      <c r="G2479" s="9"/>
      <c r="H2479" s="9"/>
      <c r="I2479" s="9"/>
      <c r="J2479" s="9"/>
      <c r="K2479" s="9"/>
      <c r="L2479" s="9"/>
      <c r="M2479" s="9"/>
      <c r="N2479" s="9"/>
    </row>
    <row r="2480" spans="2:14" x14ac:dyDescent="0.3">
      <c r="B2480" s="14"/>
      <c r="C2480" s="14"/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</row>
    <row r="2481" spans="2:14" x14ac:dyDescent="0.3">
      <c r="B2481" s="14"/>
      <c r="C2481" s="14"/>
      <c r="D2481" s="9"/>
      <c r="E2481" s="9"/>
      <c r="F2481" s="9"/>
      <c r="G2481" s="9"/>
      <c r="H2481" s="9"/>
      <c r="I2481" s="9"/>
      <c r="J2481" s="9"/>
      <c r="K2481" s="9"/>
      <c r="L2481" s="9"/>
      <c r="M2481" s="9"/>
      <c r="N2481" s="9"/>
    </row>
    <row r="2482" spans="2:14" x14ac:dyDescent="0.3">
      <c r="B2482" s="14"/>
      <c r="C2482" s="14"/>
      <c r="D2482" s="9"/>
      <c r="E2482" s="9"/>
      <c r="F2482" s="9"/>
      <c r="G2482" s="9"/>
      <c r="H2482" s="9"/>
      <c r="I2482" s="9"/>
      <c r="J2482" s="9"/>
      <c r="K2482" s="9"/>
      <c r="L2482" s="9"/>
      <c r="M2482" s="9"/>
      <c r="N2482" s="9"/>
    </row>
    <row r="2483" spans="2:14" x14ac:dyDescent="0.3">
      <c r="B2483" s="14"/>
      <c r="C2483" s="14"/>
      <c r="D2483" s="9"/>
      <c r="E2483" s="9"/>
      <c r="F2483" s="9"/>
      <c r="G2483" s="9"/>
      <c r="H2483" s="9"/>
      <c r="I2483" s="9"/>
      <c r="J2483" s="9"/>
      <c r="K2483" s="9"/>
      <c r="L2483" s="9"/>
      <c r="M2483" s="9"/>
      <c r="N2483" s="9"/>
    </row>
    <row r="2484" spans="2:14" x14ac:dyDescent="0.3">
      <c r="B2484" s="14"/>
      <c r="C2484" s="14"/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</row>
    <row r="2485" spans="2:14" x14ac:dyDescent="0.3">
      <c r="B2485" s="14"/>
      <c r="C2485" s="14"/>
      <c r="D2485" s="9"/>
      <c r="E2485" s="9"/>
      <c r="F2485" s="9"/>
      <c r="G2485" s="9"/>
      <c r="H2485" s="9"/>
      <c r="I2485" s="9"/>
      <c r="J2485" s="9"/>
      <c r="K2485" s="9"/>
      <c r="L2485" s="9"/>
      <c r="M2485" s="9"/>
      <c r="N2485" s="9"/>
    </row>
    <row r="2486" spans="2:14" x14ac:dyDescent="0.3">
      <c r="B2486" s="14"/>
      <c r="C2486" s="14"/>
      <c r="D2486" s="9"/>
      <c r="E2486" s="9"/>
      <c r="F2486" s="9"/>
      <c r="G2486" s="9"/>
      <c r="H2486" s="9"/>
      <c r="I2486" s="9"/>
      <c r="J2486" s="9"/>
      <c r="K2486" s="9"/>
      <c r="L2486" s="9"/>
      <c r="M2486" s="9"/>
      <c r="N2486" s="9"/>
    </row>
    <row r="2487" spans="2:14" x14ac:dyDescent="0.3">
      <c r="B2487" s="14"/>
      <c r="C2487" s="14"/>
      <c r="D2487" s="9"/>
      <c r="E2487" s="9"/>
      <c r="F2487" s="9"/>
      <c r="G2487" s="9"/>
      <c r="H2487" s="9"/>
      <c r="I2487" s="9"/>
      <c r="J2487" s="9"/>
      <c r="K2487" s="9"/>
      <c r="L2487" s="9"/>
      <c r="M2487" s="9"/>
      <c r="N2487" s="9"/>
    </row>
    <row r="2488" spans="2:14" x14ac:dyDescent="0.3">
      <c r="B2488" s="14"/>
      <c r="C2488" s="14"/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9"/>
    </row>
    <row r="2489" spans="2:14" x14ac:dyDescent="0.3">
      <c r="B2489" s="14"/>
      <c r="C2489" s="14"/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9"/>
    </row>
    <row r="2490" spans="2:14" x14ac:dyDescent="0.3">
      <c r="B2490" s="14"/>
      <c r="C2490" s="14"/>
      <c r="D2490" s="9"/>
      <c r="E2490" s="9"/>
      <c r="F2490" s="9"/>
      <c r="G2490" s="9"/>
      <c r="H2490" s="9"/>
      <c r="I2490" s="9"/>
      <c r="J2490" s="9"/>
      <c r="K2490" s="9"/>
      <c r="L2490" s="9"/>
      <c r="M2490" s="9"/>
      <c r="N2490" s="9"/>
    </row>
    <row r="2491" spans="2:14" x14ac:dyDescent="0.3">
      <c r="B2491" s="14"/>
      <c r="C2491" s="14"/>
      <c r="D2491" s="9"/>
      <c r="E2491" s="9"/>
      <c r="F2491" s="9"/>
      <c r="G2491" s="9"/>
      <c r="H2491" s="9"/>
      <c r="I2491" s="9"/>
      <c r="J2491" s="9"/>
      <c r="K2491" s="9"/>
      <c r="L2491" s="9"/>
      <c r="M2491" s="9"/>
      <c r="N2491" s="9"/>
    </row>
    <row r="2492" spans="2:14" x14ac:dyDescent="0.3">
      <c r="B2492" s="14"/>
      <c r="C2492" s="14"/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9"/>
    </row>
    <row r="2493" spans="2:14" x14ac:dyDescent="0.3">
      <c r="B2493" s="14"/>
      <c r="C2493" s="14"/>
      <c r="D2493" s="9"/>
      <c r="E2493" s="9"/>
      <c r="F2493" s="9"/>
      <c r="G2493" s="9"/>
      <c r="H2493" s="9"/>
      <c r="I2493" s="9"/>
      <c r="J2493" s="9"/>
      <c r="K2493" s="9"/>
      <c r="L2493" s="9"/>
      <c r="M2493" s="9"/>
      <c r="N2493" s="9"/>
    </row>
    <row r="2494" spans="2:14" x14ac:dyDescent="0.3">
      <c r="B2494" s="14"/>
      <c r="C2494" s="14"/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</row>
    <row r="2495" spans="2:14" x14ac:dyDescent="0.3">
      <c r="B2495" s="14"/>
      <c r="C2495" s="14"/>
      <c r="D2495" s="9"/>
      <c r="E2495" s="9"/>
      <c r="F2495" s="9"/>
      <c r="G2495" s="9"/>
      <c r="H2495" s="9"/>
      <c r="I2495" s="9"/>
      <c r="J2495" s="9"/>
      <c r="K2495" s="9"/>
      <c r="L2495" s="9"/>
      <c r="M2495" s="9"/>
      <c r="N2495" s="9"/>
    </row>
    <row r="2496" spans="2:14" x14ac:dyDescent="0.3">
      <c r="B2496" s="14"/>
      <c r="C2496" s="14"/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9"/>
    </row>
    <row r="2497" spans="2:14" x14ac:dyDescent="0.3">
      <c r="B2497" s="14"/>
      <c r="C2497" s="14"/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9"/>
    </row>
    <row r="2498" spans="2:14" x14ac:dyDescent="0.3">
      <c r="B2498" s="14"/>
      <c r="C2498" s="14"/>
      <c r="D2498" s="9"/>
      <c r="E2498" s="9"/>
      <c r="F2498" s="9"/>
      <c r="G2498" s="9"/>
      <c r="H2498" s="9"/>
      <c r="I2498" s="9"/>
      <c r="J2498" s="9"/>
      <c r="K2498" s="9"/>
      <c r="L2498" s="9"/>
      <c r="M2498" s="9"/>
      <c r="N2498" s="9"/>
    </row>
    <row r="2499" spans="2:14" x14ac:dyDescent="0.3">
      <c r="B2499" s="14"/>
      <c r="C2499" s="14"/>
      <c r="D2499" s="9"/>
      <c r="E2499" s="9"/>
      <c r="F2499" s="9"/>
      <c r="G2499" s="9"/>
      <c r="H2499" s="9"/>
      <c r="I2499" s="9"/>
      <c r="J2499" s="9"/>
      <c r="K2499" s="9"/>
      <c r="L2499" s="9"/>
      <c r="M2499" s="9"/>
      <c r="N2499" s="9"/>
    </row>
    <row r="2500" spans="2:14" x14ac:dyDescent="0.3">
      <c r="B2500" s="14"/>
      <c r="C2500" s="14"/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9"/>
    </row>
    <row r="2501" spans="2:14" x14ac:dyDescent="0.3">
      <c r="B2501" s="14"/>
      <c r="C2501" s="14"/>
      <c r="D2501" s="9"/>
      <c r="E2501" s="9"/>
      <c r="F2501" s="9"/>
      <c r="G2501" s="9"/>
      <c r="H2501" s="9"/>
      <c r="I2501" s="9"/>
      <c r="J2501" s="9"/>
      <c r="K2501" s="9"/>
      <c r="L2501" s="9"/>
      <c r="M2501" s="9"/>
      <c r="N2501" s="9"/>
    </row>
    <row r="2502" spans="2:14" x14ac:dyDescent="0.3">
      <c r="B2502" s="14"/>
      <c r="C2502" s="14"/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</row>
    <row r="2503" spans="2:14" x14ac:dyDescent="0.3">
      <c r="B2503" s="14"/>
      <c r="C2503" s="14"/>
      <c r="D2503" s="9"/>
      <c r="E2503" s="9"/>
      <c r="F2503" s="9"/>
      <c r="G2503" s="9"/>
      <c r="H2503" s="9"/>
      <c r="I2503" s="9"/>
      <c r="J2503" s="9"/>
      <c r="K2503" s="9"/>
      <c r="L2503" s="9"/>
      <c r="M2503" s="9"/>
      <c r="N2503" s="9"/>
    </row>
    <row r="2504" spans="2:14" x14ac:dyDescent="0.3">
      <c r="B2504" s="14"/>
      <c r="C2504" s="14"/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</row>
    <row r="2505" spans="2:14" x14ac:dyDescent="0.3">
      <c r="B2505" s="14"/>
      <c r="C2505" s="14"/>
      <c r="D2505" s="9"/>
      <c r="E2505" s="9"/>
      <c r="F2505" s="9"/>
      <c r="G2505" s="9"/>
      <c r="H2505" s="9"/>
      <c r="I2505" s="9"/>
      <c r="J2505" s="9"/>
      <c r="K2505" s="9"/>
      <c r="L2505" s="9"/>
      <c r="M2505" s="9"/>
      <c r="N2505" s="9"/>
    </row>
    <row r="2506" spans="2:14" x14ac:dyDescent="0.3">
      <c r="B2506" s="14"/>
      <c r="C2506" s="14"/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9"/>
    </row>
    <row r="2507" spans="2:14" x14ac:dyDescent="0.3">
      <c r="B2507" s="14"/>
      <c r="C2507" s="14"/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</row>
    <row r="2508" spans="2:14" x14ac:dyDescent="0.3">
      <c r="B2508" s="14"/>
      <c r="C2508" s="14"/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9"/>
    </row>
    <row r="2509" spans="2:14" x14ac:dyDescent="0.3">
      <c r="B2509" s="14"/>
      <c r="C2509" s="14"/>
      <c r="D2509" s="9"/>
      <c r="E2509" s="9"/>
      <c r="F2509" s="9"/>
      <c r="G2509" s="9"/>
      <c r="H2509" s="9"/>
      <c r="I2509" s="9"/>
      <c r="J2509" s="9"/>
      <c r="K2509" s="9"/>
      <c r="L2509" s="9"/>
      <c r="M2509" s="9"/>
      <c r="N2509" s="9"/>
    </row>
    <row r="2510" spans="2:14" x14ac:dyDescent="0.3">
      <c r="B2510" s="14"/>
      <c r="C2510" s="14"/>
      <c r="D2510" s="9"/>
      <c r="E2510" s="9"/>
      <c r="F2510" s="9"/>
      <c r="G2510" s="9"/>
      <c r="H2510" s="9"/>
      <c r="I2510" s="9"/>
      <c r="J2510" s="9"/>
      <c r="K2510" s="9"/>
      <c r="L2510" s="9"/>
      <c r="M2510" s="9"/>
      <c r="N2510" s="9"/>
    </row>
    <row r="2511" spans="2:14" x14ac:dyDescent="0.3">
      <c r="B2511" s="14"/>
      <c r="C2511" s="14"/>
      <c r="D2511" s="9"/>
      <c r="E2511" s="9"/>
      <c r="F2511" s="9"/>
      <c r="G2511" s="9"/>
      <c r="H2511" s="9"/>
      <c r="I2511" s="9"/>
      <c r="J2511" s="9"/>
      <c r="K2511" s="9"/>
      <c r="L2511" s="9"/>
      <c r="M2511" s="9"/>
      <c r="N2511" s="9"/>
    </row>
    <row r="2512" spans="2:14" x14ac:dyDescent="0.3">
      <c r="B2512" s="14"/>
      <c r="C2512" s="14"/>
      <c r="D2512" s="9"/>
      <c r="E2512" s="9"/>
      <c r="F2512" s="9"/>
      <c r="G2512" s="9"/>
      <c r="H2512" s="9"/>
      <c r="I2512" s="9"/>
      <c r="J2512" s="9"/>
      <c r="K2512" s="9"/>
      <c r="L2512" s="9"/>
      <c r="M2512" s="9"/>
      <c r="N2512" s="9"/>
    </row>
    <row r="2513" spans="2:14" x14ac:dyDescent="0.3">
      <c r="B2513" s="14"/>
      <c r="C2513" s="14"/>
      <c r="D2513" s="9"/>
      <c r="E2513" s="9"/>
      <c r="F2513" s="9"/>
      <c r="G2513" s="9"/>
      <c r="H2513" s="9"/>
      <c r="I2513" s="9"/>
      <c r="J2513" s="9"/>
      <c r="K2513" s="9"/>
      <c r="L2513" s="9"/>
      <c r="M2513" s="9"/>
      <c r="N2513" s="9"/>
    </row>
    <row r="2514" spans="2:14" x14ac:dyDescent="0.3">
      <c r="B2514" s="14"/>
      <c r="C2514" s="14"/>
      <c r="D2514" s="9"/>
      <c r="E2514" s="9"/>
      <c r="F2514" s="9"/>
      <c r="G2514" s="9"/>
      <c r="H2514" s="9"/>
      <c r="I2514" s="9"/>
      <c r="J2514" s="9"/>
      <c r="K2514" s="9"/>
      <c r="L2514" s="9"/>
      <c r="M2514" s="9"/>
      <c r="N2514" s="9"/>
    </row>
    <row r="2515" spans="2:14" x14ac:dyDescent="0.3">
      <c r="B2515" s="14"/>
      <c r="C2515" s="14"/>
      <c r="D2515" s="9"/>
      <c r="E2515" s="9"/>
      <c r="F2515" s="9"/>
      <c r="G2515" s="9"/>
      <c r="H2515" s="9"/>
      <c r="I2515" s="9"/>
      <c r="J2515" s="9"/>
      <c r="K2515" s="9"/>
      <c r="L2515" s="9"/>
      <c r="M2515" s="9"/>
      <c r="N2515" s="9"/>
    </row>
    <row r="2516" spans="2:14" x14ac:dyDescent="0.3">
      <c r="B2516" s="14"/>
      <c r="C2516" s="14"/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</row>
    <row r="2517" spans="2:14" x14ac:dyDescent="0.3">
      <c r="B2517" s="14"/>
      <c r="C2517" s="14"/>
      <c r="D2517" s="9"/>
      <c r="E2517" s="9"/>
      <c r="F2517" s="9"/>
      <c r="G2517" s="9"/>
      <c r="H2517" s="9"/>
      <c r="I2517" s="9"/>
      <c r="J2517" s="9"/>
      <c r="K2517" s="9"/>
      <c r="L2517" s="9"/>
      <c r="M2517" s="9"/>
      <c r="N2517" s="9"/>
    </row>
    <row r="2518" spans="2:14" x14ac:dyDescent="0.3">
      <c r="B2518" s="14"/>
      <c r="C2518" s="14"/>
      <c r="D2518" s="9"/>
      <c r="E2518" s="9"/>
      <c r="F2518" s="9"/>
      <c r="G2518" s="9"/>
      <c r="H2518" s="9"/>
      <c r="I2518" s="9"/>
      <c r="J2518" s="9"/>
      <c r="K2518" s="9"/>
      <c r="L2518" s="9"/>
      <c r="M2518" s="9"/>
      <c r="N2518" s="9"/>
    </row>
    <row r="2519" spans="2:14" x14ac:dyDescent="0.3">
      <c r="B2519" s="14"/>
      <c r="C2519" s="14"/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</row>
    <row r="2520" spans="2:14" x14ac:dyDescent="0.3">
      <c r="B2520" s="14"/>
      <c r="C2520" s="14"/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</row>
    <row r="2521" spans="2:14" x14ac:dyDescent="0.3">
      <c r="B2521" s="14"/>
      <c r="C2521" s="14"/>
      <c r="D2521" s="9"/>
      <c r="E2521" s="9"/>
      <c r="F2521" s="9"/>
      <c r="G2521" s="9"/>
      <c r="H2521" s="9"/>
      <c r="I2521" s="9"/>
      <c r="J2521" s="9"/>
      <c r="K2521" s="9"/>
      <c r="L2521" s="9"/>
      <c r="M2521" s="9"/>
      <c r="N2521" s="9"/>
    </row>
    <row r="2522" spans="2:14" x14ac:dyDescent="0.3">
      <c r="B2522" s="14"/>
      <c r="C2522" s="14"/>
      <c r="D2522" s="9"/>
      <c r="E2522" s="9"/>
      <c r="F2522" s="9"/>
      <c r="G2522" s="9"/>
      <c r="H2522" s="9"/>
      <c r="I2522" s="9"/>
      <c r="J2522" s="9"/>
      <c r="K2522" s="9"/>
      <c r="L2522" s="9"/>
      <c r="M2522" s="9"/>
      <c r="N2522" s="9"/>
    </row>
    <row r="2523" spans="2:14" x14ac:dyDescent="0.3">
      <c r="B2523" s="14"/>
      <c r="C2523" s="14"/>
      <c r="D2523" s="9"/>
      <c r="E2523" s="9"/>
      <c r="F2523" s="9"/>
      <c r="G2523" s="9"/>
      <c r="H2523" s="9"/>
      <c r="I2523" s="9"/>
      <c r="J2523" s="9"/>
      <c r="K2523" s="9"/>
      <c r="L2523" s="9"/>
      <c r="M2523" s="9"/>
      <c r="N2523" s="9"/>
    </row>
    <row r="2524" spans="2:14" x14ac:dyDescent="0.3">
      <c r="B2524" s="14"/>
      <c r="C2524" s="14"/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</row>
    <row r="2525" spans="2:14" x14ac:dyDescent="0.3">
      <c r="B2525" s="14"/>
      <c r="C2525" s="14"/>
      <c r="D2525" s="9"/>
      <c r="E2525" s="9"/>
      <c r="F2525" s="9"/>
      <c r="G2525" s="9"/>
      <c r="H2525" s="9"/>
      <c r="I2525" s="9"/>
      <c r="J2525" s="9"/>
      <c r="K2525" s="9"/>
      <c r="L2525" s="9"/>
      <c r="M2525" s="9"/>
      <c r="N2525" s="9"/>
    </row>
    <row r="2526" spans="2:14" x14ac:dyDescent="0.3">
      <c r="B2526" s="14"/>
      <c r="C2526" s="14"/>
      <c r="D2526" s="9"/>
      <c r="E2526" s="9"/>
      <c r="F2526" s="9"/>
      <c r="G2526" s="9"/>
      <c r="H2526" s="9"/>
      <c r="I2526" s="9"/>
      <c r="J2526" s="9"/>
      <c r="K2526" s="9"/>
      <c r="L2526" s="9"/>
      <c r="M2526" s="9"/>
      <c r="N2526" s="9"/>
    </row>
    <row r="2527" spans="2:14" x14ac:dyDescent="0.3">
      <c r="B2527" s="14"/>
      <c r="C2527" s="14"/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9"/>
    </row>
    <row r="2528" spans="2:14" x14ac:dyDescent="0.3">
      <c r="B2528" s="14"/>
      <c r="C2528" s="14"/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</row>
    <row r="2529" spans="2:14" x14ac:dyDescent="0.3">
      <c r="B2529" s="14"/>
      <c r="C2529" s="14"/>
      <c r="D2529" s="9"/>
      <c r="E2529" s="9"/>
      <c r="F2529" s="9"/>
      <c r="G2529" s="9"/>
      <c r="H2529" s="9"/>
      <c r="I2529" s="9"/>
      <c r="J2529" s="9"/>
      <c r="K2529" s="9"/>
      <c r="L2529" s="9"/>
      <c r="M2529" s="9"/>
      <c r="N2529" s="9"/>
    </row>
    <row r="2530" spans="2:14" x14ac:dyDescent="0.3">
      <c r="B2530" s="14"/>
      <c r="C2530" s="14"/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9"/>
    </row>
    <row r="2531" spans="2:14" x14ac:dyDescent="0.3">
      <c r="B2531" s="14"/>
      <c r="C2531" s="14"/>
      <c r="D2531" s="9"/>
      <c r="E2531" s="9"/>
      <c r="F2531" s="9"/>
      <c r="G2531" s="9"/>
      <c r="H2531" s="9"/>
      <c r="I2531" s="9"/>
      <c r="J2531" s="9"/>
      <c r="K2531" s="9"/>
      <c r="L2531" s="9"/>
      <c r="M2531" s="9"/>
      <c r="N2531" s="9"/>
    </row>
    <row r="2532" spans="2:14" x14ac:dyDescent="0.3">
      <c r="B2532" s="14"/>
      <c r="C2532" s="14"/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9"/>
    </row>
    <row r="2533" spans="2:14" x14ac:dyDescent="0.3">
      <c r="B2533" s="14"/>
      <c r="C2533" s="14"/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</row>
    <row r="2534" spans="2:14" x14ac:dyDescent="0.3">
      <c r="B2534" s="14"/>
      <c r="C2534" s="14"/>
      <c r="D2534" s="9"/>
      <c r="E2534" s="9"/>
      <c r="F2534" s="9"/>
      <c r="G2534" s="9"/>
      <c r="H2534" s="9"/>
      <c r="I2534" s="9"/>
      <c r="J2534" s="9"/>
      <c r="K2534" s="9"/>
      <c r="L2534" s="9"/>
      <c r="M2534" s="9"/>
      <c r="N2534" s="9"/>
    </row>
    <row r="2535" spans="2:14" x14ac:dyDescent="0.3">
      <c r="B2535" s="14"/>
      <c r="C2535" s="14"/>
      <c r="D2535" s="9"/>
      <c r="E2535" s="9"/>
      <c r="F2535" s="9"/>
      <c r="G2535" s="9"/>
      <c r="H2535" s="9"/>
      <c r="I2535" s="9"/>
      <c r="J2535" s="9"/>
      <c r="K2535" s="9"/>
      <c r="L2535" s="9"/>
      <c r="M2535" s="9"/>
      <c r="N2535" s="9"/>
    </row>
    <row r="2536" spans="2:14" x14ac:dyDescent="0.3">
      <c r="B2536" s="14"/>
      <c r="C2536" s="14"/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</row>
    <row r="2537" spans="2:14" x14ac:dyDescent="0.3">
      <c r="B2537" s="14"/>
      <c r="C2537" s="14"/>
      <c r="D2537" s="9"/>
      <c r="E2537" s="9"/>
      <c r="F2537" s="9"/>
      <c r="G2537" s="9"/>
      <c r="H2537" s="9"/>
      <c r="I2537" s="9"/>
      <c r="J2537" s="9"/>
      <c r="K2537" s="9"/>
      <c r="L2537" s="9"/>
      <c r="M2537" s="9"/>
      <c r="N2537" s="9"/>
    </row>
    <row r="2538" spans="2:14" x14ac:dyDescent="0.3">
      <c r="B2538" s="14"/>
      <c r="C2538" s="14"/>
      <c r="D2538" s="9"/>
      <c r="E2538" s="9"/>
      <c r="F2538" s="9"/>
      <c r="G2538" s="9"/>
      <c r="H2538" s="9"/>
      <c r="I2538" s="9"/>
      <c r="J2538" s="9"/>
      <c r="K2538" s="9"/>
      <c r="L2538" s="9"/>
      <c r="M2538" s="9"/>
      <c r="N2538" s="9"/>
    </row>
    <row r="2539" spans="2:14" x14ac:dyDescent="0.3">
      <c r="B2539" s="14"/>
      <c r="C2539" s="14"/>
      <c r="D2539" s="9"/>
      <c r="E2539" s="9"/>
      <c r="F2539" s="9"/>
      <c r="G2539" s="9"/>
      <c r="H2539" s="9"/>
      <c r="I2539" s="9"/>
      <c r="J2539" s="9"/>
      <c r="K2539" s="9"/>
      <c r="L2539" s="9"/>
      <c r="M2539" s="9"/>
      <c r="N2539" s="9"/>
    </row>
    <row r="2540" spans="2:14" x14ac:dyDescent="0.3">
      <c r="B2540" s="14"/>
      <c r="C2540" s="14"/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</row>
    <row r="2541" spans="2:14" x14ac:dyDescent="0.3">
      <c r="B2541" s="14"/>
      <c r="C2541" s="14"/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</row>
    <row r="2542" spans="2:14" x14ac:dyDescent="0.3">
      <c r="B2542" s="14"/>
      <c r="C2542" s="14"/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9"/>
    </row>
    <row r="2543" spans="2:14" x14ac:dyDescent="0.3">
      <c r="B2543" s="14"/>
      <c r="C2543" s="14"/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</row>
    <row r="2544" spans="2:14" x14ac:dyDescent="0.3">
      <c r="B2544" s="14"/>
      <c r="C2544" s="14"/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</row>
    <row r="2545" spans="2:14" x14ac:dyDescent="0.3">
      <c r="B2545" s="14"/>
      <c r="C2545" s="14"/>
      <c r="D2545" s="9"/>
      <c r="E2545" s="9"/>
      <c r="F2545" s="9"/>
      <c r="G2545" s="9"/>
      <c r="H2545" s="9"/>
      <c r="I2545" s="9"/>
      <c r="J2545" s="9"/>
      <c r="K2545" s="9"/>
      <c r="L2545" s="9"/>
      <c r="M2545" s="9"/>
      <c r="N2545" s="9"/>
    </row>
    <row r="2546" spans="2:14" x14ac:dyDescent="0.3">
      <c r="B2546" s="14"/>
      <c r="C2546" s="14"/>
      <c r="D2546" s="9"/>
      <c r="E2546" s="9"/>
      <c r="F2546" s="9"/>
      <c r="G2546" s="9"/>
      <c r="H2546" s="9"/>
      <c r="I2546" s="9"/>
      <c r="J2546" s="9"/>
      <c r="K2546" s="9"/>
      <c r="L2546" s="9"/>
      <c r="M2546" s="9"/>
      <c r="N2546" s="9"/>
    </row>
    <row r="2547" spans="2:14" x14ac:dyDescent="0.3">
      <c r="B2547" s="14"/>
      <c r="C2547" s="14"/>
      <c r="D2547" s="9"/>
      <c r="E2547" s="9"/>
      <c r="F2547" s="9"/>
      <c r="G2547" s="9"/>
      <c r="H2547" s="9"/>
      <c r="I2547" s="9"/>
      <c r="J2547" s="9"/>
      <c r="K2547" s="9"/>
      <c r="L2547" s="9"/>
      <c r="M2547" s="9"/>
      <c r="N2547" s="9"/>
    </row>
    <row r="2548" spans="2:14" x14ac:dyDescent="0.3">
      <c r="B2548" s="14"/>
      <c r="C2548" s="14"/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</row>
    <row r="2549" spans="2:14" x14ac:dyDescent="0.3">
      <c r="B2549" s="14"/>
      <c r="C2549" s="14"/>
      <c r="D2549" s="9"/>
      <c r="E2549" s="9"/>
      <c r="F2549" s="9"/>
      <c r="G2549" s="9"/>
      <c r="H2549" s="9"/>
      <c r="I2549" s="9"/>
      <c r="J2549" s="9"/>
      <c r="K2549" s="9"/>
      <c r="L2549" s="9"/>
      <c r="M2549" s="9"/>
      <c r="N2549" s="9"/>
    </row>
    <row r="2550" spans="2:14" x14ac:dyDescent="0.3">
      <c r="B2550" s="14"/>
      <c r="C2550" s="14"/>
      <c r="D2550" s="9"/>
      <c r="E2550" s="9"/>
      <c r="F2550" s="9"/>
      <c r="G2550" s="9"/>
      <c r="H2550" s="9"/>
      <c r="I2550" s="9"/>
      <c r="J2550" s="9"/>
      <c r="K2550" s="9"/>
      <c r="L2550" s="9"/>
      <c r="M2550" s="9"/>
      <c r="N2550" s="9"/>
    </row>
    <row r="2551" spans="2:14" x14ac:dyDescent="0.3">
      <c r="B2551" s="14"/>
      <c r="C2551" s="14"/>
      <c r="D2551" s="9"/>
      <c r="E2551" s="9"/>
      <c r="F2551" s="9"/>
      <c r="G2551" s="9"/>
      <c r="H2551" s="9"/>
      <c r="I2551" s="9"/>
      <c r="J2551" s="9"/>
      <c r="K2551" s="9"/>
      <c r="L2551" s="9"/>
      <c r="M2551" s="9"/>
      <c r="N2551" s="9"/>
    </row>
    <row r="2552" spans="2:14" x14ac:dyDescent="0.3">
      <c r="B2552" s="14"/>
      <c r="C2552" s="14"/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</row>
    <row r="2553" spans="2:14" x14ac:dyDescent="0.3">
      <c r="B2553" s="14"/>
      <c r="C2553" s="14"/>
      <c r="D2553" s="9"/>
      <c r="E2553" s="9"/>
      <c r="F2553" s="9"/>
      <c r="G2553" s="9"/>
      <c r="H2553" s="9"/>
      <c r="I2553" s="9"/>
      <c r="J2553" s="9"/>
      <c r="K2553" s="9"/>
      <c r="L2553" s="9"/>
      <c r="M2553" s="9"/>
      <c r="N2553" s="9"/>
    </row>
    <row r="2554" spans="2:14" x14ac:dyDescent="0.3">
      <c r="B2554" s="14"/>
      <c r="C2554" s="14"/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9"/>
    </row>
    <row r="2555" spans="2:14" x14ac:dyDescent="0.3">
      <c r="B2555" s="14"/>
      <c r="C2555" s="14"/>
      <c r="D2555" s="9"/>
      <c r="E2555" s="9"/>
      <c r="F2555" s="9"/>
      <c r="G2555" s="9"/>
      <c r="H2555" s="9"/>
      <c r="I2555" s="9"/>
      <c r="J2555" s="9"/>
      <c r="K2555" s="9"/>
      <c r="L2555" s="9"/>
      <c r="M2555" s="9"/>
      <c r="N2555" s="9"/>
    </row>
    <row r="2556" spans="2:14" x14ac:dyDescent="0.3">
      <c r="B2556" s="14"/>
      <c r="C2556" s="14"/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</row>
    <row r="2557" spans="2:14" x14ac:dyDescent="0.3">
      <c r="B2557" s="14"/>
      <c r="C2557" s="14"/>
      <c r="D2557" s="9"/>
      <c r="E2557" s="9"/>
      <c r="F2557" s="9"/>
      <c r="G2557" s="9"/>
      <c r="H2557" s="9"/>
      <c r="I2557" s="9"/>
      <c r="J2557" s="9"/>
      <c r="K2557" s="9"/>
      <c r="L2557" s="9"/>
      <c r="M2557" s="9"/>
      <c r="N2557" s="9"/>
    </row>
    <row r="2558" spans="2:14" x14ac:dyDescent="0.3">
      <c r="B2558" s="14"/>
      <c r="C2558" s="14"/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9"/>
    </row>
    <row r="2559" spans="2:14" x14ac:dyDescent="0.3">
      <c r="B2559" s="14"/>
      <c r="C2559" s="14"/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</row>
    <row r="2560" spans="2:14" x14ac:dyDescent="0.3">
      <c r="B2560" s="14"/>
      <c r="C2560" s="14"/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</row>
    <row r="2561" spans="2:14" x14ac:dyDescent="0.3">
      <c r="B2561" s="14"/>
      <c r="C2561" s="14"/>
      <c r="D2561" s="9"/>
      <c r="E2561" s="9"/>
      <c r="F2561" s="9"/>
      <c r="G2561" s="9"/>
      <c r="H2561" s="9"/>
      <c r="I2561" s="9"/>
      <c r="J2561" s="9"/>
      <c r="K2561" s="9"/>
      <c r="L2561" s="9"/>
      <c r="M2561" s="9"/>
      <c r="N2561" s="9"/>
    </row>
    <row r="2562" spans="2:14" x14ac:dyDescent="0.3">
      <c r="B2562" s="14"/>
      <c r="C2562" s="14"/>
      <c r="D2562" s="9"/>
      <c r="E2562" s="9"/>
      <c r="F2562" s="9"/>
      <c r="G2562" s="9"/>
      <c r="H2562" s="9"/>
      <c r="I2562" s="9"/>
      <c r="J2562" s="9"/>
      <c r="K2562" s="9"/>
      <c r="L2562" s="9"/>
      <c r="M2562" s="9"/>
      <c r="N2562" s="9"/>
    </row>
    <row r="2563" spans="2:14" x14ac:dyDescent="0.3">
      <c r="B2563" s="14"/>
      <c r="C2563" s="14"/>
      <c r="D2563" s="9"/>
      <c r="E2563" s="9"/>
      <c r="F2563" s="9"/>
      <c r="G2563" s="9"/>
      <c r="H2563" s="9"/>
      <c r="I2563" s="9"/>
      <c r="J2563" s="9"/>
      <c r="K2563" s="9"/>
      <c r="L2563" s="9"/>
      <c r="M2563" s="9"/>
      <c r="N2563" s="9"/>
    </row>
    <row r="2564" spans="2:14" x14ac:dyDescent="0.3">
      <c r="B2564" s="14"/>
      <c r="C2564" s="14"/>
      <c r="D2564" s="9"/>
      <c r="E2564" s="9"/>
      <c r="F2564" s="9"/>
      <c r="G2564" s="9"/>
      <c r="H2564" s="9"/>
      <c r="I2564" s="9"/>
      <c r="J2564" s="9"/>
      <c r="K2564" s="9"/>
      <c r="L2564" s="9"/>
      <c r="M2564" s="9"/>
      <c r="N2564" s="9"/>
    </row>
    <row r="2565" spans="2:14" x14ac:dyDescent="0.3">
      <c r="B2565" s="14"/>
      <c r="C2565" s="14"/>
      <c r="D2565" s="9"/>
      <c r="E2565" s="9"/>
      <c r="F2565" s="9"/>
      <c r="G2565" s="9"/>
      <c r="H2565" s="9"/>
      <c r="I2565" s="9"/>
      <c r="J2565" s="9"/>
      <c r="K2565" s="9"/>
      <c r="L2565" s="9"/>
      <c r="M2565" s="9"/>
      <c r="N2565" s="9"/>
    </row>
    <row r="2566" spans="2:14" x14ac:dyDescent="0.3">
      <c r="B2566" s="14"/>
      <c r="C2566" s="14"/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9"/>
    </row>
    <row r="2567" spans="2:14" x14ac:dyDescent="0.3">
      <c r="B2567" s="14"/>
      <c r="C2567" s="14"/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</row>
    <row r="2568" spans="2:14" x14ac:dyDescent="0.3">
      <c r="B2568" s="14"/>
      <c r="C2568" s="14"/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</row>
    <row r="2569" spans="2:14" x14ac:dyDescent="0.3">
      <c r="B2569" s="14"/>
      <c r="C2569" s="14"/>
      <c r="D2569" s="9"/>
      <c r="E2569" s="9"/>
      <c r="F2569" s="9"/>
      <c r="G2569" s="9"/>
      <c r="H2569" s="9"/>
      <c r="I2569" s="9"/>
      <c r="J2569" s="9"/>
      <c r="K2569" s="9"/>
      <c r="L2569" s="9"/>
      <c r="M2569" s="9"/>
      <c r="N2569" s="9"/>
    </row>
    <row r="2570" spans="2:14" x14ac:dyDescent="0.3">
      <c r="B2570" s="14"/>
      <c r="C2570" s="14"/>
      <c r="D2570" s="9"/>
      <c r="E2570" s="9"/>
      <c r="F2570" s="9"/>
      <c r="G2570" s="9"/>
      <c r="H2570" s="9"/>
      <c r="I2570" s="9"/>
      <c r="J2570" s="9"/>
      <c r="K2570" s="9"/>
      <c r="L2570" s="9"/>
      <c r="M2570" s="9"/>
      <c r="N2570" s="9"/>
    </row>
    <row r="2571" spans="2:14" x14ac:dyDescent="0.3">
      <c r="B2571" s="14"/>
      <c r="C2571" s="14"/>
      <c r="D2571" s="9"/>
      <c r="E2571" s="9"/>
      <c r="F2571" s="9"/>
      <c r="G2571" s="9"/>
      <c r="H2571" s="9"/>
      <c r="I2571" s="9"/>
      <c r="J2571" s="9"/>
      <c r="K2571" s="9"/>
      <c r="L2571" s="9"/>
      <c r="M2571" s="9"/>
      <c r="N2571" s="9"/>
    </row>
    <row r="2572" spans="2:14" x14ac:dyDescent="0.3">
      <c r="B2572" s="14"/>
      <c r="C2572" s="14"/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</row>
    <row r="2573" spans="2:14" x14ac:dyDescent="0.3">
      <c r="B2573" s="14"/>
      <c r="C2573" s="14"/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</row>
    <row r="2574" spans="2:14" x14ac:dyDescent="0.3">
      <c r="B2574" s="14"/>
      <c r="C2574" s="14"/>
      <c r="D2574" s="9"/>
      <c r="E2574" s="9"/>
      <c r="F2574" s="9"/>
      <c r="G2574" s="9"/>
      <c r="H2574" s="9"/>
      <c r="I2574" s="9"/>
      <c r="J2574" s="9"/>
      <c r="K2574" s="9"/>
      <c r="L2574" s="9"/>
      <c r="M2574" s="9"/>
      <c r="N2574" s="9"/>
    </row>
    <row r="2575" spans="2:14" x14ac:dyDescent="0.3">
      <c r="B2575" s="14"/>
      <c r="C2575" s="14"/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</row>
    <row r="2576" spans="2:14" x14ac:dyDescent="0.3">
      <c r="B2576" s="14"/>
      <c r="C2576" s="14"/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</row>
    <row r="2577" spans="2:14" x14ac:dyDescent="0.3">
      <c r="B2577" s="14"/>
      <c r="C2577" s="14"/>
      <c r="D2577" s="9"/>
      <c r="E2577" s="9"/>
      <c r="F2577" s="9"/>
      <c r="G2577" s="9"/>
      <c r="H2577" s="9"/>
      <c r="I2577" s="9"/>
      <c r="J2577" s="9"/>
      <c r="K2577" s="9"/>
      <c r="L2577" s="9"/>
      <c r="M2577" s="9"/>
      <c r="N2577" s="9"/>
    </row>
    <row r="2578" spans="2:14" x14ac:dyDescent="0.3">
      <c r="B2578" s="14"/>
      <c r="C2578" s="14"/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</row>
    <row r="2579" spans="2:14" x14ac:dyDescent="0.3">
      <c r="B2579" s="14"/>
      <c r="C2579" s="14"/>
      <c r="D2579" s="9"/>
      <c r="E2579" s="9"/>
      <c r="F2579" s="9"/>
      <c r="G2579" s="9"/>
      <c r="H2579" s="9"/>
      <c r="I2579" s="9"/>
      <c r="J2579" s="9"/>
      <c r="K2579" s="9"/>
      <c r="L2579" s="9"/>
      <c r="M2579" s="9"/>
      <c r="N2579" s="9"/>
    </row>
    <row r="2580" spans="2:14" x14ac:dyDescent="0.3">
      <c r="B2580" s="14"/>
      <c r="C2580" s="14"/>
      <c r="D2580" s="9"/>
      <c r="E2580" s="9"/>
      <c r="F2580" s="9"/>
      <c r="G2580" s="9"/>
      <c r="H2580" s="9"/>
      <c r="I2580" s="9"/>
      <c r="J2580" s="9"/>
      <c r="K2580" s="9"/>
      <c r="L2580" s="9"/>
      <c r="M2580" s="9"/>
      <c r="N2580" s="9"/>
    </row>
    <row r="2581" spans="2:14" x14ac:dyDescent="0.3">
      <c r="B2581" s="14"/>
      <c r="C2581" s="14"/>
      <c r="D2581" s="9"/>
      <c r="E2581" s="9"/>
      <c r="F2581" s="9"/>
      <c r="G2581" s="9"/>
      <c r="H2581" s="9"/>
      <c r="I2581" s="9"/>
      <c r="J2581" s="9"/>
      <c r="K2581" s="9"/>
      <c r="L2581" s="9"/>
      <c r="M2581" s="9"/>
      <c r="N2581" s="9"/>
    </row>
    <row r="2582" spans="2:14" x14ac:dyDescent="0.3">
      <c r="B2582" s="14"/>
      <c r="C2582" s="14"/>
      <c r="D2582" s="9"/>
      <c r="E2582" s="9"/>
      <c r="F2582" s="9"/>
      <c r="G2582" s="9"/>
      <c r="H2582" s="9"/>
      <c r="I2582" s="9"/>
      <c r="J2582" s="9"/>
      <c r="K2582" s="9"/>
      <c r="L2582" s="9"/>
      <c r="M2582" s="9"/>
      <c r="N2582" s="9"/>
    </row>
    <row r="2583" spans="2:14" x14ac:dyDescent="0.3">
      <c r="B2583" s="14"/>
      <c r="C2583" s="14"/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</row>
    <row r="2584" spans="2:14" x14ac:dyDescent="0.3">
      <c r="B2584" s="14"/>
      <c r="C2584" s="14"/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</row>
    <row r="2585" spans="2:14" x14ac:dyDescent="0.3">
      <c r="B2585" s="14"/>
      <c r="C2585" s="14"/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9"/>
    </row>
    <row r="2586" spans="2:14" x14ac:dyDescent="0.3">
      <c r="B2586" s="14"/>
      <c r="C2586" s="14"/>
      <c r="D2586" s="9"/>
      <c r="E2586" s="9"/>
      <c r="F2586" s="9"/>
      <c r="G2586" s="9"/>
      <c r="H2586" s="9"/>
      <c r="I2586" s="9"/>
      <c r="J2586" s="9"/>
      <c r="K2586" s="9"/>
      <c r="L2586" s="9"/>
      <c r="M2586" s="9"/>
      <c r="N2586" s="9"/>
    </row>
    <row r="2587" spans="2:14" x14ac:dyDescent="0.3">
      <c r="B2587" s="14"/>
      <c r="C2587" s="14"/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</row>
    <row r="2588" spans="2:14" x14ac:dyDescent="0.3">
      <c r="B2588" s="14"/>
      <c r="C2588" s="14"/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</row>
    <row r="2589" spans="2:14" x14ac:dyDescent="0.3">
      <c r="B2589" s="14"/>
      <c r="C2589" s="14"/>
      <c r="D2589" s="9"/>
      <c r="E2589" s="9"/>
      <c r="F2589" s="9"/>
      <c r="G2589" s="9"/>
      <c r="H2589" s="9"/>
      <c r="I2589" s="9"/>
      <c r="J2589" s="9"/>
      <c r="K2589" s="9"/>
      <c r="L2589" s="9"/>
      <c r="M2589" s="9"/>
      <c r="N2589" s="9"/>
    </row>
    <row r="2590" spans="2:14" x14ac:dyDescent="0.3">
      <c r="B2590" s="14"/>
      <c r="C2590" s="14"/>
      <c r="D2590" s="9"/>
      <c r="E2590" s="9"/>
      <c r="F2590" s="9"/>
      <c r="G2590" s="9"/>
      <c r="H2590" s="9"/>
      <c r="I2590" s="9"/>
      <c r="J2590" s="9"/>
      <c r="K2590" s="9"/>
      <c r="L2590" s="9"/>
      <c r="M2590" s="9"/>
      <c r="N2590" s="9"/>
    </row>
    <row r="2591" spans="2:14" x14ac:dyDescent="0.3">
      <c r="B2591" s="14"/>
      <c r="C2591" s="14"/>
      <c r="D2591" s="9"/>
      <c r="E2591" s="9"/>
      <c r="F2591" s="9"/>
      <c r="G2591" s="9"/>
      <c r="H2591" s="9"/>
      <c r="I2591" s="9"/>
      <c r="J2591" s="9"/>
      <c r="K2591" s="9"/>
      <c r="L2591" s="9"/>
      <c r="M2591" s="9"/>
      <c r="N2591" s="9"/>
    </row>
    <row r="2592" spans="2:14" x14ac:dyDescent="0.3">
      <c r="B2592" s="14"/>
      <c r="C2592" s="14"/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</row>
    <row r="2593" spans="2:14" x14ac:dyDescent="0.3">
      <c r="B2593" s="14"/>
      <c r="C2593" s="14"/>
      <c r="D2593" s="9"/>
      <c r="E2593" s="9"/>
      <c r="F2593" s="9"/>
      <c r="G2593" s="9"/>
      <c r="H2593" s="9"/>
      <c r="I2593" s="9"/>
      <c r="J2593" s="9"/>
      <c r="K2593" s="9"/>
      <c r="L2593" s="9"/>
      <c r="M2593" s="9"/>
      <c r="N2593" s="9"/>
    </row>
    <row r="2594" spans="2:14" x14ac:dyDescent="0.3">
      <c r="B2594" s="14"/>
      <c r="C2594" s="14"/>
      <c r="D2594" s="9"/>
      <c r="E2594" s="9"/>
      <c r="F2594" s="9"/>
      <c r="G2594" s="9"/>
      <c r="H2594" s="9"/>
      <c r="I2594" s="9"/>
      <c r="J2594" s="9"/>
      <c r="K2594" s="9"/>
      <c r="L2594" s="9"/>
      <c r="M2594" s="9"/>
      <c r="N2594" s="9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invoice</vt:lpstr>
      <vt:lpstr>company_details</vt:lpstr>
      <vt:lpstr>states</vt:lpstr>
      <vt:lpstr>items</vt:lpstr>
      <vt:lpstr>company_name</vt:lpstr>
      <vt:lpstr>member_name</vt:lpstr>
      <vt:lpstr>invoice_data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2019-08-07T10:11:41Z</cp:lastPrinted>
  <dcterms:created xsi:type="dcterms:W3CDTF">2019-07-30T05:10:16Z</dcterms:created>
  <dcterms:modified xsi:type="dcterms:W3CDTF">2019-08-08T10:19:59Z</dcterms:modified>
</cp:coreProperties>
</file>